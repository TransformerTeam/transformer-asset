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\Downloads\TR Asset\Criteria\"/>
    </mc:Choice>
  </mc:AlternateContent>
  <xr:revisionPtr revIDLastSave="0" documentId="8_{7542DD9E-7D69-4BA7-9619-B2A6375CD959}" xr6:coauthVersionLast="47" xr6:coauthVersionMax="47" xr10:uidLastSave="{00000000-0000-0000-0000-000000000000}"/>
  <bookViews>
    <workbookView xWindow="-108" yWindow="-108" windowWidth="23256" windowHeight="13896" xr2:uid="{C8EADC5F-4DCE-4880-86C2-AD49BE76D416}"/>
  </bookViews>
  <sheets>
    <sheet name="Evaluation" sheetId="1" r:id="rId1"/>
  </sheets>
  <externalReferences>
    <externalReference r:id="rId2"/>
  </externalReferences>
  <definedNames>
    <definedName name="a">#REF!</definedName>
    <definedName name="aa">#REF!</definedName>
    <definedName name="Assignment_Table">#REF!</definedName>
    <definedName name="BB">#REF!</definedName>
    <definedName name="_xlnm.Criteria">#REF!</definedName>
    <definedName name="drlFilter">#REF!</definedName>
    <definedName name="End">#REF!</definedName>
    <definedName name="Mr.Jirasak_S.">#REF!</definedName>
    <definedName name="Mr.Methee_M.">#REF!</definedName>
    <definedName name="Mr.Pimchart">INDIRECT(#REF!)</definedName>
    <definedName name="Mr.Pimchart_P.">#REF!</definedName>
    <definedName name="Mr.Suchat_M.">#REF!</definedName>
    <definedName name="mydatabase">OFFSET(start_data,0,0,COUNTA(#REF!)-1,COUNTA(#REF!)-9)</definedName>
    <definedName name="Name">#REF!</definedName>
    <definedName name="PEAList">OFFSET(start_visualM,0,0,COUNTA(#REF!)-1,1)</definedName>
    <definedName name="pip">#REF!</definedName>
    <definedName name="_xlnm.Print_Area" localSheetId="0">Evaluation!$A$1:$AS$98</definedName>
    <definedName name="Rangeofset">OFFSET(#REF!,1,0,COUNT(#REF!),47)</definedName>
    <definedName name="Resource_Table">#REF!</definedName>
    <definedName name="Runnumber">!A1048576+1</definedName>
    <definedName name="sdsd">#REF!</definedName>
    <definedName name="SERIAL_NUMBER">#REF!</definedName>
    <definedName name="ss">#REF!</definedName>
    <definedName name="start_data">#REF!</definedName>
    <definedName name="Start_Evaluation">Evaluation!#REF!</definedName>
    <definedName name="start_visualM">#REF!</definedName>
    <definedName name="Task_Table">#REF!</definedName>
    <definedName name="tblManualTest">#REF!</definedName>
    <definedName name="TRAN">#REF!</definedName>
    <definedName name="tt">#REF!</definedName>
    <definedName name="UT_proce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9" i="1" l="1"/>
  <c r="AP98" i="1"/>
  <c r="AM96" i="1"/>
  <c r="AS96" i="1" s="1"/>
  <c r="AG96" i="1"/>
  <c r="AM95" i="1"/>
  <c r="AS95" i="1" s="1"/>
  <c r="AG95" i="1"/>
  <c r="AM94" i="1"/>
  <c r="AS94" i="1" s="1"/>
  <c r="AG94" i="1"/>
  <c r="AM93" i="1"/>
  <c r="AS93" i="1" s="1"/>
  <c r="AG93" i="1"/>
  <c r="AM92" i="1"/>
  <c r="AS92" i="1" s="1"/>
  <c r="AM91" i="1" a="1"/>
  <c r="AS91" i="1" s="1"/>
  <c r="AM90" i="1"/>
  <c r="AS90" i="1" s="1"/>
  <c r="AG90" i="1"/>
  <c r="AM89" i="1"/>
  <c r="AS89" i="1" s="1"/>
  <c r="AG89" i="1"/>
  <c r="AP81" i="1"/>
  <c r="AM79" i="1" a="1"/>
  <c r="AS79" i="1" s="1"/>
  <c r="AM78" i="1"/>
  <c r="AS78" i="1" s="1"/>
  <c r="AM77" i="1"/>
  <c r="AS77" i="1" s="1"/>
  <c r="AP72" i="1"/>
  <c r="AU71" i="1" a="1"/>
  <c r="AU70" i="1" a="1"/>
  <c r="AU69" i="1" a="1"/>
  <c r="AL64" i="1"/>
  <c r="AK64" i="1"/>
  <c r="AJ64" i="1"/>
  <c r="AL63" i="1"/>
  <c r="AK63" i="1"/>
  <c r="AJ63" i="1"/>
  <c r="T63" i="1" a="1"/>
  <c r="AL62" i="1"/>
  <c r="AK62" i="1"/>
  <c r="AJ62" i="1"/>
  <c r="AL61" i="1"/>
  <c r="AK61" i="1"/>
  <c r="AJ61" i="1"/>
  <c r="T61" i="1" a="1"/>
  <c r="P61" i="1"/>
  <c r="P62" i="1" s="1"/>
  <c r="J61" i="1"/>
  <c r="J62" i="1" s="1"/>
  <c r="AL59" i="1"/>
  <c r="AK59" i="1"/>
  <c r="AJ59" i="1"/>
  <c r="AL58" i="1"/>
  <c r="AK58" i="1"/>
  <c r="AJ58" i="1"/>
  <c r="Z58" i="1"/>
  <c r="X58" i="1"/>
  <c r="AL57" i="1"/>
  <c r="AK57" i="1"/>
  <c r="AJ57" i="1"/>
  <c r="Z57" i="1"/>
  <c r="X57" i="1"/>
  <c r="AL54" i="1"/>
  <c r="AK54" i="1"/>
  <c r="AJ54" i="1"/>
  <c r="AL53" i="1"/>
  <c r="AK53" i="1"/>
  <c r="AJ53" i="1"/>
  <c r="AG53" i="1"/>
  <c r="T53" i="1"/>
  <c r="AF49" i="1"/>
  <c r="T49" i="1"/>
  <c r="X49" i="1" s="1"/>
  <c r="AU48" i="1" a="1"/>
  <c r="Z48" i="1"/>
  <c r="X48" i="1"/>
  <c r="AU46" i="1" a="1"/>
  <c r="Z46" i="1"/>
  <c r="X46" i="1"/>
  <c r="AU41" i="1" a="1"/>
  <c r="X41" i="1"/>
  <c r="AG35" i="1"/>
  <c r="AG33" i="1"/>
  <c r="AG31" i="1"/>
  <c r="T31" i="1"/>
  <c r="U31" i="1" s="1"/>
  <c r="AG29" i="1"/>
  <c r="AG25" i="1"/>
  <c r="T25" i="1"/>
  <c r="U25" i="1" s="1"/>
  <c r="Z24" i="1"/>
  <c r="X24" i="1"/>
  <c r="AG23" i="1"/>
  <c r="Z23" i="1"/>
  <c r="X23" i="1"/>
  <c r="AG19" i="1"/>
  <c r="AU17" i="1" a="1"/>
  <c r="AG17" i="1"/>
  <c r="AU16" i="1" a="1"/>
  <c r="AG16" i="1"/>
  <c r="AU15" i="1" a="1"/>
  <c r="AG15" i="1"/>
  <c r="AC15" i="1"/>
  <c r="AA15" i="1"/>
  <c r="W15" i="1"/>
  <c r="U15" i="1"/>
  <c r="AU14" i="1" a="1"/>
  <c r="AG14" i="1"/>
  <c r="AC14" i="1"/>
  <c r="AA14" i="1"/>
  <c r="W14" i="1"/>
  <c r="U14" i="1"/>
  <c r="AG13" i="1"/>
  <c r="AF11" i="1"/>
  <c r="AC11" i="1"/>
  <c r="AA11" i="1"/>
  <c r="Z11" i="1"/>
  <c r="X11" i="1"/>
  <c r="W11" i="1"/>
  <c r="T11" i="1"/>
  <c r="AF10" i="1"/>
  <c r="AC10" i="1"/>
  <c r="AA10" i="1"/>
  <c r="Z10" i="1"/>
  <c r="X10" i="1"/>
  <c r="W10" i="1"/>
  <c r="T10" i="1"/>
  <c r="AG9" i="1"/>
  <c r="AK4" i="1"/>
  <c r="C2" i="1"/>
  <c r="AU21" i="1" l="1" a="1"/>
  <c r="AU68" i="1" a="1"/>
  <c r="AS68" i="1"/>
  <c r="AF63" i="1"/>
  <c r="X63" i="1"/>
  <c r="X61" i="1"/>
  <c r="AF61" i="1"/>
  <c r="AF53" i="1"/>
  <c r="X53" i="1"/>
  <c r="Z49" i="1"/>
  <c r="AU49" i="1" a="1"/>
  <c r="AU35" i="1" a="1"/>
  <c r="AS35" i="1"/>
  <c r="AU13" i="1" a="1"/>
  <c r="AU10" i="1" a="1"/>
  <c r="C4" i="1"/>
  <c r="U4" i="1"/>
  <c r="AM76" i="1" s="1" a="1"/>
  <c r="AS76" i="1" s="1"/>
  <c r="AS81" i="1" s="1"/>
  <c r="J3" i="1"/>
  <c r="O2" i="1"/>
  <c r="J2" i="1"/>
  <c r="C3" i="1"/>
  <c r="P3" i="1"/>
  <c r="O4" i="1"/>
  <c r="Q3" i="1"/>
  <c r="Q2" i="1"/>
  <c r="J4" i="1"/>
  <c r="O3" i="1"/>
  <c r="AS57" i="1"/>
  <c r="Z63" i="1" l="1"/>
  <c r="Z61" i="1"/>
  <c r="Z53" i="1"/>
  <c r="T39" i="1"/>
  <c r="X39" i="1" s="1"/>
  <c r="T42" i="1" a="1"/>
  <c r="X42" i="1" s="1"/>
  <c r="AF42" i="1" a="1"/>
  <c r="AF43" i="1" a="1"/>
  <c r="T44" i="1"/>
  <c r="X44" i="1" s="1"/>
  <c r="T45" i="1"/>
  <c r="X45" i="1" s="1"/>
  <c r="AF47" i="1"/>
  <c r="T40" i="1" a="1"/>
  <c r="X40" i="1" s="1"/>
  <c r="T43" i="1" a="1"/>
  <c r="X43" i="1" s="1"/>
  <c r="AF45" i="1"/>
  <c r="T47" i="1"/>
  <c r="T50" i="1"/>
  <c r="X50" i="1" s="1"/>
  <c r="T19" i="1"/>
  <c r="U19" i="1" s="1"/>
  <c r="AF19" i="1"/>
  <c r="AF25" i="1"/>
  <c r="AF31" i="1"/>
  <c r="T36" i="1" a="1"/>
  <c r="AF36" i="1" a="1"/>
  <c r="Z36" i="1" s="1"/>
  <c r="T37" i="1"/>
  <c r="X37" i="1" s="1"/>
  <c r="AF37" i="1"/>
  <c r="T38" i="1"/>
  <c r="X38" i="1" s="1"/>
  <c r="AF39" i="1"/>
  <c r="AF40" i="1" a="1"/>
  <c r="AF50" i="1"/>
  <c r="T51" i="1"/>
  <c r="AF51" i="1"/>
  <c r="AU51" i="1" s="1" a="1"/>
  <c r="AF38" i="1"/>
  <c r="AF44" i="1"/>
  <c r="AM87" i="1" a="1"/>
  <c r="AS87" i="1" s="1"/>
  <c r="AM88" i="1" a="1"/>
  <c r="AS88" i="1" s="1"/>
  <c r="U2" i="1"/>
  <c r="T54" i="1" s="1"/>
  <c r="U3" i="1"/>
  <c r="AU57" i="1" a="1"/>
  <c r="AU58" i="1" a="1"/>
  <c r="AU59" i="1" a="1"/>
  <c r="AU62" i="1" a="1"/>
  <c r="AU55" i="1" a="1"/>
  <c r="AU53" i="1" a="1"/>
  <c r="R3" i="1"/>
  <c r="Z42" i="1" l="1"/>
  <c r="AU42" i="1" s="1" a="1"/>
  <c r="AU43" i="1" a="1"/>
  <c r="Z43" i="1"/>
  <c r="AD47" i="1" a="1"/>
  <c r="Z47" i="1"/>
  <c r="Z45" i="1"/>
  <c r="AU45" i="1" a="1"/>
  <c r="R47" i="1" a="1"/>
  <c r="X47" i="1"/>
  <c r="AC19" i="1"/>
  <c r="AC25" i="1"/>
  <c r="AC31" i="1"/>
  <c r="X36" i="1"/>
  <c r="AU37" i="1" a="1"/>
  <c r="Z37" i="1"/>
  <c r="AU39" i="1" a="1"/>
  <c r="Z39" i="1"/>
  <c r="AU40" i="1" a="1"/>
  <c r="Z40" i="1"/>
  <c r="AU50" i="1" a="1"/>
  <c r="Z50" i="1"/>
  <c r="AU38" i="1" a="1"/>
  <c r="Z38" i="1"/>
  <c r="Z44" i="1"/>
  <c r="X54" i="1"/>
  <c r="AF54" i="1"/>
  <c r="AS98" i="1"/>
  <c r="AS61" i="1"/>
  <c r="AU61" i="1" a="1"/>
  <c r="AS13" i="1" l="1"/>
  <c r="AU19" i="1" a="1"/>
  <c r="AU36" i="1" a="1"/>
  <c r="Z54" i="1"/>
  <c r="AS53" i="1" l="1"/>
  <c r="AU54" i="1" a="1"/>
  <c r="AU47" i="1" a="1"/>
  <c r="AS36" i="1"/>
  <c r="AS72" i="1" s="1"/>
  <c r="AS8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<sst xmlns="http://schemas.openxmlformats.org/spreadsheetml/2006/main" count="480" uniqueCount="181">
  <si>
    <t>Name</t>
  </si>
  <si>
    <t>Manufacture</t>
  </si>
  <si>
    <t>Rated Power</t>
  </si>
  <si>
    <t>MVA</t>
  </si>
  <si>
    <t>Vector Group</t>
  </si>
  <si>
    <t>Serial No.</t>
  </si>
  <si>
    <t>Fluid Type</t>
  </si>
  <si>
    <t>Rated Voltage</t>
  </si>
  <si>
    <t>Number of Winding</t>
  </si>
  <si>
    <t>Device Code</t>
  </si>
  <si>
    <t>Site</t>
  </si>
  <si>
    <t>Service Type</t>
  </si>
  <si>
    <t>Service Year</t>
  </si>
  <si>
    <t>Evaluation Date</t>
  </si>
  <si>
    <t>Condition Health Index</t>
  </si>
  <si>
    <t>Criteria</t>
  </si>
  <si>
    <t>Comissioning Value</t>
  </si>
  <si>
    <t>Standard</t>
  </si>
  <si>
    <t>Standard Recommendation</t>
  </si>
  <si>
    <t>Test Date</t>
  </si>
  <si>
    <t>Test Result</t>
  </si>
  <si>
    <t>Score</t>
  </si>
  <si>
    <t>Weight</t>
  </si>
  <si>
    <t>Condition Aging Index</t>
  </si>
  <si>
    <t>DD /</t>
  </si>
  <si>
    <t>MM /</t>
  </si>
  <si>
    <t>YYYY</t>
  </si>
  <si>
    <t>A</t>
  </si>
  <si>
    <t>B</t>
  </si>
  <si>
    <t>C</t>
  </si>
  <si>
    <t>Average</t>
  </si>
  <si>
    <t>Magnetic Core</t>
  </si>
  <si>
    <t>Core Insulation Resistance (Core-Ground)</t>
  </si>
  <si>
    <t>Insulation Resistance &gt; 100 MΩ</t>
  </si>
  <si>
    <t>IEEE C57.152-2013</t>
  </si>
  <si>
    <t>&lt;</t>
  </si>
  <si>
    <t>-</t>
  </si>
  <si>
    <t>&gt;</t>
  </si>
  <si>
    <t>Core Insulation Resistance (Clamp-Ground)</t>
  </si>
  <si>
    <t>Core Insulation Resistance (Core-Clamp)</t>
  </si>
  <si>
    <t>High Voltage Winding</t>
  </si>
  <si>
    <t>Exciting Current</t>
  </si>
  <si>
    <t>Normally the outer phases have similar values within 5%. The current on the middle phase can be up to 30% lower</t>
  </si>
  <si>
    <t>Abnormal Pattern</t>
  </si>
  <si>
    <t>Normal Pattern</t>
  </si>
  <si>
    <t>Single Phase Leakage Impedance</t>
  </si>
  <si>
    <t>Impedance measured shall
compare within 3% with another phase</t>
  </si>
  <si>
    <t>3 Phase Short Circuit Impedance</t>
  </si>
  <si>
    <t>Three phase equivalent test result should be within 3% of nameplate values</t>
  </si>
  <si>
    <t>Turn Ratio</t>
  </si>
  <si>
    <t>± 0.5% error from Calculated Ratio</t>
  </si>
  <si>
    <t>DC Winding Resistance</t>
  </si>
  <si>
    <t>%Max. Error from Previous Test (≤5%)</t>
  </si>
  <si>
    <r>
      <t xml:space="preserve">%Max. Error between </t>
    </r>
    <r>
      <rPr>
        <sz val="26"/>
        <color theme="1"/>
        <rFont val="TH SarabunPSK"/>
        <family val="2"/>
        <charset val="222"/>
      </rPr>
      <t>Phase</t>
    </r>
    <r>
      <rPr>
        <b/>
        <sz val="26"/>
        <color theme="1"/>
        <rFont val="TH SarabunPSK"/>
        <family val="2"/>
      </rPr>
      <t xml:space="preserve"> (≤2%)</t>
    </r>
  </si>
  <si>
    <t>Insulation Power Factor and Capacitance</t>
  </si>
  <si>
    <r>
      <t xml:space="preserve">% Max. PF at 20 </t>
    </r>
    <r>
      <rPr>
        <b/>
        <vertAlign val="superscript"/>
        <sz val="26"/>
        <color theme="1"/>
        <rFont val="TH SarabunPSK"/>
        <family val="2"/>
      </rPr>
      <t>o</t>
    </r>
    <r>
      <rPr>
        <b/>
        <sz val="26"/>
        <color theme="1"/>
        <rFont val="TH SarabunPSK"/>
        <family val="2"/>
      </rPr>
      <t>C (</t>
    </r>
    <r>
      <rPr>
        <b/>
        <sz val="26"/>
        <color theme="1"/>
        <rFont val="TH SarabunPSK"/>
        <family val="2"/>
        <charset val="222"/>
      </rPr>
      <t>≤</t>
    </r>
    <r>
      <rPr>
        <b/>
        <sz val="26"/>
        <color theme="1"/>
        <rFont val="TH SarabunPSK"/>
        <family val="2"/>
      </rPr>
      <t xml:space="preserve"> 1.0%)</t>
    </r>
  </si>
  <si>
    <t>% Max. Capacitance (≤ 5.0%)</t>
  </si>
  <si>
    <t>Polarization Index (PI)</t>
  </si>
  <si>
    <t>PI should be more than 1.25</t>
  </si>
  <si>
    <t>Low Voltage Winding</t>
  </si>
  <si>
    <r>
      <t xml:space="preserve">%Max. Error between </t>
    </r>
    <r>
      <rPr>
        <sz val="26"/>
        <color theme="1"/>
        <rFont val="TH SarabunPSK"/>
        <family val="2"/>
        <charset val="222"/>
      </rPr>
      <t>Phase</t>
    </r>
    <r>
      <rPr>
        <b/>
        <sz val="26"/>
        <color theme="1"/>
        <rFont val="TH SarabunPSK"/>
        <family val="2"/>
      </rPr>
      <t xml:space="preserve"> (≤5%)</t>
    </r>
  </si>
  <si>
    <t>Tertiary Winding</t>
  </si>
  <si>
    <t>Insulating Oil in Main Tank</t>
  </si>
  <si>
    <t>Dissolve Gas Analysis (DGA)</t>
  </si>
  <si>
    <t>IEEE C57.104-2019</t>
  </si>
  <si>
    <t>Abnormal</t>
  </si>
  <si>
    <t>Normal</t>
  </si>
  <si>
    <t>Dielectrc Breakdown Voltage (kV)</t>
  </si>
  <si>
    <t>ASTM D1816 gap 2 mm</t>
  </si>
  <si>
    <t>IEEE C57.106-2015</t>
  </si>
  <si>
    <r>
      <t xml:space="preserve">% Max PF at 25 </t>
    </r>
    <r>
      <rPr>
        <b/>
        <vertAlign val="superscript"/>
        <sz val="26"/>
        <color theme="1"/>
        <rFont val="TH SarabunPSK"/>
        <family val="2"/>
      </rPr>
      <t>o</t>
    </r>
    <r>
      <rPr>
        <b/>
        <sz val="26"/>
        <color theme="1"/>
        <rFont val="TH SarabunPSK"/>
        <family val="2"/>
      </rPr>
      <t>C</t>
    </r>
  </si>
  <si>
    <t>ASTM D924</t>
  </si>
  <si>
    <r>
      <t xml:space="preserve">% Max PF at 100 </t>
    </r>
    <r>
      <rPr>
        <b/>
        <vertAlign val="superscript"/>
        <sz val="26"/>
        <color theme="1"/>
        <rFont val="TH SarabunPSK"/>
        <family val="2"/>
      </rPr>
      <t>o</t>
    </r>
    <r>
      <rPr>
        <b/>
        <sz val="26"/>
        <color theme="1"/>
        <rFont val="TH SarabunPSK"/>
        <family val="2"/>
      </rPr>
      <t>C</t>
    </r>
  </si>
  <si>
    <t>Conductivity (pS/m)</t>
  </si>
  <si>
    <t>IEC 61620</t>
  </si>
  <si>
    <t>Water Content (ppm)</t>
  </si>
  <si>
    <t>ASTM D1533</t>
  </si>
  <si>
    <t>Color</t>
  </si>
  <si>
    <t>ASTM D1500</t>
  </si>
  <si>
    <t>Interfatial Tension (IFT) (dynes/cm)</t>
  </si>
  <si>
    <t>ASTM D971</t>
  </si>
  <si>
    <t>Acidity (Neutralization number) (mgKOH/g)</t>
  </si>
  <si>
    <t>ASTM D974</t>
  </si>
  <si>
    <t>Aging Product (IFT/Acidity)</t>
  </si>
  <si>
    <t>CIGRE 413</t>
  </si>
  <si>
    <t>Sludge (%original wight)</t>
  </si>
  <si>
    <t>IEC 60296</t>
  </si>
  <si>
    <t>Inhibitor (%)</t>
  </si>
  <si>
    <t>IEC 60422</t>
  </si>
  <si>
    <t>Corrosive Sulfur</t>
  </si>
  <si>
    <t>ASTM D1275</t>
  </si>
  <si>
    <t>Passivator (Irgamet 39) (ppm)</t>
  </si>
  <si>
    <t>IEC 60666</t>
  </si>
  <si>
    <t>Furan (2-FAL) (ppb)</t>
  </si>
  <si>
    <t>ASTM D5837</t>
  </si>
  <si>
    <t>Estimated DP</t>
  </si>
  <si>
    <t>Chengdong</t>
  </si>
  <si>
    <t>CIGRE 323</t>
  </si>
  <si>
    <t>Moisture in Paper [Cal.]</t>
  </si>
  <si>
    <t>SDMayer</t>
  </si>
  <si>
    <t>Insulating Oil in OLTC</t>
  </si>
  <si>
    <t>Dielectrc Breakdown</t>
  </si>
  <si>
    <t>IEC 60156</t>
  </si>
  <si>
    <t>Water Content</t>
  </si>
  <si>
    <t>DGA Result</t>
  </si>
  <si>
    <t>Surge Arrester</t>
  </si>
  <si>
    <t>Leakage Current (Increment from Initial %)</t>
  </si>
  <si>
    <t>Watt Loss  (Increment from Initial %)</t>
  </si>
  <si>
    <t>Insulation Resistance (Remaining from Initial %)</t>
  </si>
  <si>
    <t>Bushing</t>
  </si>
  <si>
    <t>Type:</t>
  </si>
  <si>
    <t>Brand:</t>
  </si>
  <si>
    <r>
      <t xml:space="preserve">HV % PF @ 20 </t>
    </r>
    <r>
      <rPr>
        <b/>
        <vertAlign val="superscript"/>
        <sz val="26"/>
        <color theme="1"/>
        <rFont val="TH SarabunPSK"/>
        <family val="2"/>
      </rPr>
      <t>o</t>
    </r>
    <r>
      <rPr>
        <b/>
        <sz val="26"/>
        <color theme="1"/>
        <rFont val="TH SarabunPSK"/>
        <family val="2"/>
      </rPr>
      <t>C (C1) (Error from Nameplate)</t>
    </r>
  </si>
  <si>
    <t>HV % Capacitance (C1) (Error from Nameplate)</t>
  </si>
  <si>
    <r>
      <t xml:space="preserve">LV % PF @ 20 </t>
    </r>
    <r>
      <rPr>
        <b/>
        <vertAlign val="superscript"/>
        <sz val="26"/>
        <color theme="1"/>
        <rFont val="TH SarabunPSK"/>
        <family val="2"/>
      </rPr>
      <t>o</t>
    </r>
    <r>
      <rPr>
        <b/>
        <sz val="26"/>
        <color theme="1"/>
        <rFont val="TH SarabunPSK"/>
        <family val="2"/>
      </rPr>
      <t>C (C1) (Error from Nameplate)</t>
    </r>
  </si>
  <si>
    <t>LV % Capacitance (C1) (Error from Nameplate)</t>
  </si>
  <si>
    <t>OLTC</t>
  </si>
  <si>
    <t>Transition Resistance (%)</t>
  </si>
  <si>
    <t>&lt;=</t>
  </si>
  <si>
    <t>Contact Wear (mm/100,000 Operations)</t>
  </si>
  <si>
    <t>Visual Inspection</t>
  </si>
  <si>
    <t>10 /</t>
  </si>
  <si>
    <t>Grounding Measurement and Test</t>
  </si>
  <si>
    <t>Neutral Ground Resistor</t>
  </si>
  <si>
    <t>Cooling System Inspection</t>
  </si>
  <si>
    <t>Summary</t>
  </si>
  <si>
    <t>General Health Index</t>
  </si>
  <si>
    <t>Geraneral Health Index</t>
  </si>
  <si>
    <t>Age of Transformer (Year)</t>
  </si>
  <si>
    <t>Estimated service age 40 Year</t>
  </si>
  <si>
    <t>Number of Through Fault</t>
  </si>
  <si>
    <t>Maintenance History</t>
  </si>
  <si>
    <t>Preventive maintenance every 3 Year</t>
  </si>
  <si>
    <t>On Schedule</t>
  </si>
  <si>
    <t>Overdue 1-3 Year</t>
  </si>
  <si>
    <t>Overdue more than 3 Year</t>
  </si>
  <si>
    <t>Load History (%)</t>
  </si>
  <si>
    <t>Peak Load</t>
  </si>
  <si>
    <t>Summary of Probability of Failure (Condition Health + General Health)</t>
  </si>
  <si>
    <t>Impact Index</t>
  </si>
  <si>
    <t>Financial losses (MTHB/Day)</t>
  </si>
  <si>
    <t>มูลค่าความเสียหายจากการขายไฟฟ้าให้ลูกค้าไม่ได้ (ลบ./วัน)</t>
  </si>
  <si>
    <t>≥</t>
  </si>
  <si>
    <t>Equipment damage cost (MTHB)</t>
  </si>
  <si>
    <t>มูลค่าความเสียหายของหม้อแปลงไฟฟ้า</t>
  </si>
  <si>
    <t>N-1 Criteria</t>
  </si>
  <si>
    <t>แหล่งพลังงานไฟฟ้ามีกำลังสำรองหรือมีเครือข่ายที่เพียงพอกับความต้องการใช้ไฟฟ้าและสามารถจ่ายไฟได้แม้ว่าอุปกรณ์ตัวใดตัวหนึ่งหรือส่วนใดส่วนหนึ่งของระบบเกิดชำรุดเสียหายจนไม่สามารถใช้งานได้</t>
  </si>
  <si>
    <t>Yes</t>
  </si>
  <si>
    <t>No</t>
  </si>
  <si>
    <t>Feeder Importance</t>
  </si>
  <si>
    <t>ความสำคัญของหม้อแปลงไฟฟ้า แบ่งตามความสำคัญและการใช้งาน</t>
  </si>
  <si>
    <t>Auxiliary</t>
  </si>
  <si>
    <t>UAT</t>
  </si>
  <si>
    <t>GSUT/Distribution</t>
  </si>
  <si>
    <t>Recovery Time (Week)</t>
  </si>
  <si>
    <t>เวลาในการนำหม้อแปลงไฟฟ้ากลับเข้าระบบ</t>
  </si>
  <si>
    <t>Network Stability</t>
  </si>
  <si>
    <t>สเถียรภาพของระบบส่งจ่ายกำลังไฟฟ้า</t>
  </si>
  <si>
    <t>ไม่กระทบกับสเถียรภาพของระบบส่งจ่ายกำลังไฟฟ้า</t>
  </si>
  <si>
    <t>กระทบกับสเถียรภาพของระบบส่งจ่ายกำลังไฟฟ้าเล็กน้อย ไม่สั่งปลดโหลดออกจากระบบ</t>
  </si>
  <si>
    <t>กระทบกับสเถียรภาพของระบบอย่างมาก และหรือสั่งปลดโหลดบางส่วนออกจากระบบ</t>
  </si>
  <si>
    <t>Customer impact</t>
  </si>
  <si>
    <t>ผลกระทบกับระบบไฟฟ้าของลูกค้า</t>
  </si>
  <si>
    <t>ไม่กระทบกับลูกค้า</t>
  </si>
  <si>
    <t>ไม่เกิดปัญหากับกระบวนการผลิตของลูกค้า (แรงดันไฟฟ้าไม่สเถียรชั่วคราว ไม่ปลดลูกค้าออกจากระบบ)</t>
  </si>
  <si>
    <t>เกิดผลกระทบกับกระบวนการผลิตของลูกค้าอย่างมาก (แรงดันไฟฟ้าตก ปลดลูกค้าออกจากระบบ)</t>
  </si>
  <si>
    <t>Image and Media Relations</t>
  </si>
  <si>
    <t>ภาพลักษณ์และสื่อโซเชียล</t>
  </si>
  <si>
    <t>ไม่กระทบกับภาพลักษณ์บริษัท</t>
  </si>
  <si>
    <t>ภาพลักษณ์ของบริษัทเสียหายเล็กน้อย ได้รับการสอบถามจากชุมชนใกล้เคียง</t>
  </si>
  <si>
    <t>ภาพลักษณ์ของบริษัทได้รับความเสียหายอย่างรุนแรงทั้งในสื่อและโซเชียลมีเดีย</t>
  </si>
  <si>
    <t>Enviroment</t>
  </si>
  <si>
    <t>ผลกระทบด้านสิ่งแวดล้อมขณะหม้อแปลงผิดปกติ</t>
  </si>
  <si>
    <t>ไม่เกิดผลกระทบด้านสิ่งแวดล้อม (ไม่มีควันดำปกคลุมพื้นที่ ไม่มีน้ำมันหกรั่วไหล)</t>
  </si>
  <si>
    <t>เกิดผลกระทบกับสิ่งแวดล้อมเล็กน้อยสามารถควบคุมได้ (เกิดควันดำและหรือน้ำมันหกรั่วไหลเล็กน้อย สามารถควบคุมได้)</t>
  </si>
  <si>
    <t>เกิดผลกระทบด้านสิ่งแวดล้อมบริเวณกว้าง ต้องใช้หน่วยงานภายนอกเพื่อควบคุม (เกิดไฟไหม้ มีควันดำเป็นบริเวณกว้าง และหรือมีน้ำมันหกรั่วไหลจำนวนมาก)</t>
  </si>
  <si>
    <t>Safety</t>
  </si>
  <si>
    <t>ผลกระทบด้านความปลอดภัยขณะหม้อแปลงผิดปกติ</t>
  </si>
  <si>
    <t>ไม่เกิดอันตรายต่อบุคคลและทรัพย์สิน (มีระบบป้องกันที่ดี อยู่ในพื้นที่ปิด มีระบบดับเพลิงครบ)</t>
  </si>
  <si>
    <t>บุคคลบาดเจ็บเล็กน้อยและทรัพย์สินเสียหายบางส่วน (มีระบบป้องกันที่ดี มีระบบดับเพลิง พื้นที่บ้างส่วนเปิดโล่ง)</t>
  </si>
  <si>
    <t xml:space="preserve">บุคคบบาดเจ็บสาหัสหรือเสียชีวิต ทรัพย์สินข้างเคียงได้รับความเสียหายอย่างหนัก (ระบบป้องกันไม่ดี พื้นที่ทุกส่วนเปิดโล่ง ไม่มีระบบดับเพลิง)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</si>
</sst>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yy"/>
    <numFmt numFmtId="165" formatCode="0.000"/>
    <numFmt numFmtId="166" formatCode="0.0"/>
    <numFmt numFmtId="167" formatCode="0.0000"/>
  </numFmts>
  <fonts count="3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48"/>
      <color theme="0"/>
      <name val="Mulish ExtraBold"/>
    </font>
    <font>
      <b/>
      <sz val="26"/>
      <color theme="1"/>
      <name val="Calibri"/>
      <family val="2"/>
      <charset val="222"/>
      <scheme val="minor"/>
    </font>
    <font>
      <b/>
      <sz val="14"/>
      <name val="Mulish"/>
    </font>
    <font>
      <b/>
      <sz val="16"/>
      <name val="Mulish"/>
    </font>
    <font>
      <sz val="16"/>
      <color theme="1"/>
      <name val="Mulish"/>
    </font>
    <font>
      <sz val="11"/>
      <color theme="1"/>
      <name val="Mulish"/>
    </font>
    <font>
      <sz val="16"/>
      <color theme="0"/>
      <name val="Mulish"/>
    </font>
    <font>
      <b/>
      <sz val="16"/>
      <color theme="1"/>
      <name val="Calibri"/>
      <family val="2"/>
      <charset val="222"/>
      <scheme val="minor"/>
    </font>
    <font>
      <b/>
      <u/>
      <sz val="36"/>
      <color theme="1"/>
      <name val="TH SarabunPSK"/>
      <family val="2"/>
    </font>
    <font>
      <sz val="26"/>
      <color theme="1"/>
      <name val="TH SarabunPSK"/>
      <family val="2"/>
    </font>
    <font>
      <b/>
      <sz val="10.5"/>
      <name val="Mulish"/>
    </font>
    <font>
      <sz val="10"/>
      <color theme="1"/>
      <name val="Mulish"/>
    </font>
    <font>
      <b/>
      <sz val="28"/>
      <color theme="1"/>
      <name val="TH SarabunPSK"/>
      <family val="2"/>
    </font>
    <font>
      <b/>
      <u/>
      <sz val="28"/>
      <color theme="1"/>
      <name val="TH SarabunPSK"/>
      <family val="2"/>
    </font>
    <font>
      <b/>
      <sz val="26"/>
      <color theme="1"/>
      <name val="TH SarabunPSK"/>
      <family val="2"/>
    </font>
    <font>
      <b/>
      <sz val="36"/>
      <color theme="1"/>
      <name val="TH SarabunPSK"/>
      <family val="2"/>
    </font>
    <font>
      <b/>
      <sz val="26"/>
      <color theme="0"/>
      <name val="Calibri"/>
      <family val="2"/>
      <charset val="222"/>
      <scheme val="minor"/>
    </font>
    <font>
      <b/>
      <sz val="26"/>
      <color theme="3"/>
      <name val="Calibri"/>
      <family val="2"/>
      <charset val="222"/>
      <scheme val="minor"/>
    </font>
    <font>
      <sz val="26"/>
      <color theme="1"/>
      <name val="TH SarabunPSK"/>
      <family val="2"/>
      <charset val="222"/>
    </font>
    <font>
      <b/>
      <vertAlign val="superscript"/>
      <sz val="26"/>
      <color theme="1"/>
      <name val="TH SarabunPSK"/>
      <family val="2"/>
    </font>
    <font>
      <b/>
      <sz val="26"/>
      <color theme="1"/>
      <name val="TH SarabunPSK"/>
      <family val="2"/>
      <charset val="222"/>
    </font>
    <font>
      <b/>
      <sz val="26"/>
      <name val="TH SarabunPSK"/>
      <family val="2"/>
    </font>
    <font>
      <b/>
      <sz val="26"/>
      <name val="TH SarabunPSK"/>
      <family val="2"/>
      <charset val="222"/>
    </font>
    <font>
      <b/>
      <sz val="24"/>
      <color theme="1"/>
      <name val="TH SarabunPSK"/>
      <family val="2"/>
    </font>
    <font>
      <b/>
      <sz val="26"/>
      <color rgb="FFFF0000"/>
      <name val="TH SarabunPSK"/>
      <family val="2"/>
    </font>
    <font>
      <b/>
      <sz val="26"/>
      <color theme="9" tint="0.39997558519241921"/>
      <name val="TH SarabunPSK"/>
      <family val="2"/>
    </font>
    <font>
      <b/>
      <sz val="26"/>
      <color theme="0" tint="-0.14999847407452621"/>
      <name val="TH SarabunPSK"/>
      <family val="2"/>
    </font>
    <font>
      <b/>
      <u/>
      <sz val="28"/>
      <color theme="1"/>
      <name val="TH SarabunPSK"/>
      <family val="2"/>
      <charset val="222"/>
    </font>
    <font>
      <b/>
      <sz val="36"/>
      <name val="TH SarabunPSK"/>
      <family val="2"/>
    </font>
    <font>
      <b/>
      <sz val="28"/>
      <name val="TH SarabunPSK"/>
      <family val="2"/>
    </font>
    <font>
      <b/>
      <sz val="28"/>
      <name val="TH SarabunPSK"/>
      <family val="2"/>
      <charset val="222"/>
    </font>
    <font>
      <b/>
      <sz val="48"/>
      <name val="TH SarabunPSK"/>
      <family val="2"/>
    </font>
    <font>
      <sz val="18"/>
      <color theme="1"/>
      <name val="Arial"/>
      <family val="2"/>
    </font>
    <font>
      <b/>
      <sz val="24"/>
      <color theme="1"/>
      <name val="Aptos Narrow"/>
      <family val="2"/>
    </font>
    <font>
      <sz val="18"/>
      <name val="Arial"/>
      <family val="2"/>
    </font>
    <font>
      <b/>
      <sz val="26"/>
      <name val="Calibri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43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C85A"/>
        <bgColor indexed="64"/>
      </patternFill>
    </fill>
    <fill>
      <patternFill patternType="solid">
        <fgColor rgb="FFFFBE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99"/>
        <bgColor indexed="64"/>
      </patternFill>
    </fill>
  </fills>
  <borders count="81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10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4" borderId="4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5" fillId="4" borderId="0" xfId="0" applyFont="1" applyFill="1"/>
    <xf numFmtId="0" fontId="6" fillId="4" borderId="0" xfId="0" applyFont="1" applyFill="1" applyAlignment="1">
      <alignment horizontal="left" indent="1"/>
    </xf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3" fillId="4" borderId="0" xfId="0" applyFont="1" applyFill="1"/>
    <xf numFmtId="0" fontId="7" fillId="4" borderId="0" xfId="0" applyFont="1" applyFill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4" borderId="4" xfId="0" applyFont="1" applyFill="1" applyBorder="1" applyAlignment="1">
      <alignment horizontal="left"/>
    </xf>
    <xf numFmtId="2" fontId="6" fillId="4" borderId="0" xfId="0" applyNumberFormat="1" applyFont="1" applyFill="1" applyAlignment="1">
      <alignment horizontal="center"/>
    </xf>
    <xf numFmtId="0" fontId="8" fillId="4" borderId="0" xfId="0" applyFont="1" applyFill="1"/>
    <xf numFmtId="0" fontId="9" fillId="4" borderId="0" xfId="0" applyFont="1" applyFill="1"/>
    <xf numFmtId="0" fontId="6" fillId="4" borderId="0" xfId="0" applyFont="1" applyFill="1" applyAlignment="1">
      <alignment horizontal="left"/>
    </xf>
    <xf numFmtId="0" fontId="3" fillId="4" borderId="0" xfId="0" applyFont="1" applyFill="1" applyAlignment="1">
      <alignment horizontal="right"/>
    </xf>
    <xf numFmtId="164" fontId="3" fillId="4" borderId="0" xfId="0" applyNumberFormat="1" applyFont="1" applyFill="1" applyAlignment="1">
      <alignment horizontal="center"/>
    </xf>
    <xf numFmtId="0" fontId="10" fillId="4" borderId="6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vertical="center"/>
    </xf>
    <xf numFmtId="0" fontId="12" fillId="4" borderId="7" xfId="0" applyFont="1" applyFill="1" applyBorder="1" applyAlignment="1">
      <alignment horizontal="left"/>
    </xf>
    <xf numFmtId="0" fontId="13" fillId="4" borderId="7" xfId="1" applyNumberFormat="1" applyFont="1" applyFill="1" applyBorder="1" applyAlignment="1">
      <alignment horizontal="left" indent="1"/>
    </xf>
    <xf numFmtId="0" fontId="13" fillId="4" borderId="7" xfId="0" applyFont="1" applyFill="1" applyBorder="1" applyAlignment="1">
      <alignment horizontal="left" indent="2"/>
    </xf>
    <xf numFmtId="0" fontId="7" fillId="4" borderId="7" xfId="0" applyFont="1" applyFill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6" borderId="17" xfId="0" applyFont="1" applyFill="1" applyBorder="1" applyAlignment="1">
      <alignment vertical="center"/>
    </xf>
    <xf numFmtId="0" fontId="14" fillId="6" borderId="18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vertical="center"/>
    </xf>
    <xf numFmtId="0" fontId="14" fillId="7" borderId="18" xfId="0" applyFont="1" applyFill="1" applyBorder="1" applyAlignment="1">
      <alignment vertical="center"/>
    </xf>
    <xf numFmtId="0" fontId="14" fillId="7" borderId="18" xfId="0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vertical="center"/>
    </xf>
    <xf numFmtId="0" fontId="14" fillId="8" borderId="18" xfId="0" applyFont="1" applyFill="1" applyBorder="1" applyAlignment="1">
      <alignment horizontal="center" vertical="center"/>
    </xf>
    <xf numFmtId="0" fontId="14" fillId="8" borderId="19" xfId="0" applyFont="1" applyFill="1" applyBorder="1" applyAlignment="1">
      <alignment vertical="center"/>
    </xf>
    <xf numFmtId="0" fontId="14" fillId="9" borderId="18" xfId="0" applyFont="1" applyFill="1" applyBorder="1" applyAlignment="1">
      <alignment vertical="center"/>
    </xf>
    <xf numFmtId="0" fontId="14" fillId="9" borderId="18" xfId="0" applyFont="1" applyFill="1" applyBorder="1" applyAlignment="1">
      <alignment horizontal="center" vertical="center"/>
    </xf>
    <xf numFmtId="0" fontId="14" fillId="10" borderId="17" xfId="0" applyFont="1" applyFill="1" applyBorder="1" applyAlignment="1">
      <alignment vertical="center"/>
    </xf>
    <xf numFmtId="0" fontId="14" fillId="10" borderId="18" xfId="0" applyFont="1" applyFill="1" applyBorder="1" applyAlignment="1">
      <alignment horizontal="center" vertical="center"/>
    </xf>
    <xf numFmtId="0" fontId="14" fillId="10" borderId="19" xfId="0" applyFont="1" applyFill="1" applyBorder="1" applyAlignment="1">
      <alignment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5" fillId="11" borderId="22" xfId="0" applyFont="1" applyFill="1" applyBorder="1" applyAlignment="1">
      <alignment horizontal="center" vertical="center"/>
    </xf>
    <xf numFmtId="0" fontId="15" fillId="11" borderId="23" xfId="0" applyFont="1" applyFill="1" applyBorder="1" applyAlignment="1">
      <alignment horizontal="center" vertical="center"/>
    </xf>
    <xf numFmtId="0" fontId="15" fillId="11" borderId="24" xfId="0" applyFont="1" applyFill="1" applyBorder="1" applyAlignment="1">
      <alignment horizontal="center" vertical="center"/>
    </xf>
    <xf numFmtId="0" fontId="16" fillId="11" borderId="25" xfId="0" applyFont="1" applyFill="1" applyBorder="1" applyAlignment="1">
      <alignment horizontal="center" vertical="center"/>
    </xf>
    <xf numFmtId="0" fontId="16" fillId="11" borderId="23" xfId="0" applyFont="1" applyFill="1" applyBorder="1" applyAlignment="1">
      <alignment horizontal="center" vertical="center"/>
    </xf>
    <xf numFmtId="0" fontId="16" fillId="11" borderId="24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vertical="center"/>
    </xf>
    <xf numFmtId="0" fontId="16" fillId="6" borderId="23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vertical="center"/>
    </xf>
    <xf numFmtId="0" fontId="16" fillId="7" borderId="23" xfId="0" applyFont="1" applyFill="1" applyBorder="1" applyAlignment="1">
      <alignment vertical="center"/>
    </xf>
    <xf numFmtId="0" fontId="16" fillId="8" borderId="25" xfId="0" applyFont="1" applyFill="1" applyBorder="1" applyAlignment="1">
      <alignment vertical="center"/>
    </xf>
    <xf numFmtId="0" fontId="16" fillId="8" borderId="23" xfId="0" applyFont="1" applyFill="1" applyBorder="1" applyAlignment="1">
      <alignment horizontal="center" vertical="center"/>
    </xf>
    <xf numFmtId="0" fontId="16" fillId="8" borderId="24" xfId="0" applyFont="1" applyFill="1" applyBorder="1" applyAlignment="1">
      <alignment vertical="center"/>
    </xf>
    <xf numFmtId="0" fontId="16" fillId="9" borderId="23" xfId="0" applyFont="1" applyFill="1" applyBorder="1" applyAlignment="1">
      <alignment vertical="center"/>
    </xf>
    <xf numFmtId="0" fontId="16" fillId="10" borderId="25" xfId="0" applyFont="1" applyFill="1" applyBorder="1" applyAlignment="1">
      <alignment vertical="center"/>
    </xf>
    <xf numFmtId="0" fontId="16" fillId="10" borderId="23" xfId="0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vertical="center"/>
    </xf>
    <xf numFmtId="0" fontId="16" fillId="12" borderId="25" xfId="0" applyFont="1" applyFill="1" applyBorder="1" applyAlignment="1">
      <alignment horizontal="center" vertical="center"/>
    </xf>
    <xf numFmtId="0" fontId="16" fillId="11" borderId="23" xfId="0" applyFont="1" applyFill="1" applyBorder="1" applyAlignment="1">
      <alignment horizontal="center" vertical="center"/>
    </xf>
    <xf numFmtId="0" fontId="16" fillId="11" borderId="24" xfId="0" applyFont="1" applyFill="1" applyBorder="1" applyAlignment="1">
      <alignment horizontal="center" vertical="center"/>
    </xf>
    <xf numFmtId="0" fontId="16" fillId="11" borderId="25" xfId="0" applyFont="1" applyFill="1" applyBorder="1" applyAlignment="1">
      <alignment horizontal="center" vertical="center"/>
    </xf>
    <xf numFmtId="0" fontId="16" fillId="11" borderId="26" xfId="0" applyFont="1" applyFill="1" applyBorder="1" applyAlignment="1">
      <alignment horizontal="center" vertical="center"/>
    </xf>
    <xf numFmtId="0" fontId="16" fillId="11" borderId="27" xfId="0" applyFont="1" applyFill="1" applyBorder="1" applyAlignment="1">
      <alignment horizontal="left" vertical="center"/>
    </xf>
    <xf numFmtId="0" fontId="16" fillId="11" borderId="28" xfId="0" applyFont="1" applyFill="1" applyBorder="1" applyAlignment="1">
      <alignment horizontal="left" vertical="center"/>
    </xf>
    <xf numFmtId="0" fontId="16" fillId="11" borderId="29" xfId="0" applyFont="1" applyFill="1" applyBorder="1" applyAlignment="1">
      <alignment horizontal="left" vertical="center"/>
    </xf>
    <xf numFmtId="0" fontId="16" fillId="11" borderId="30" xfId="0" applyFont="1" applyFill="1" applyBorder="1" applyAlignment="1">
      <alignment horizontal="center" vertical="center"/>
    </xf>
    <xf numFmtId="0" fontId="16" fillId="11" borderId="28" xfId="0" applyFont="1" applyFill="1" applyBorder="1" applyAlignment="1">
      <alignment horizontal="center" vertical="center"/>
    </xf>
    <xf numFmtId="0" fontId="16" fillId="11" borderId="29" xfId="0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center" vertical="center"/>
    </xf>
    <xf numFmtId="0" fontId="16" fillId="6" borderId="33" xfId="0" applyFont="1" applyFill="1" applyBorder="1" applyAlignment="1">
      <alignment horizontal="center" vertical="center"/>
    </xf>
    <xf numFmtId="0" fontId="16" fillId="7" borderId="32" xfId="0" applyFont="1" applyFill="1" applyBorder="1" applyAlignment="1">
      <alignment horizontal="center" vertical="center"/>
    </xf>
    <xf numFmtId="0" fontId="16" fillId="8" borderId="31" xfId="0" applyFont="1" applyFill="1" applyBorder="1" applyAlignment="1">
      <alignment horizontal="center" vertical="center"/>
    </xf>
    <xf numFmtId="0" fontId="16" fillId="8" borderId="32" xfId="0" quotePrefix="1" applyFont="1" applyFill="1" applyBorder="1" applyAlignment="1">
      <alignment horizontal="center" vertical="center"/>
    </xf>
    <xf numFmtId="0" fontId="16" fillId="8" borderId="33" xfId="0" applyFont="1" applyFill="1" applyBorder="1" applyAlignment="1">
      <alignment horizontal="center" vertical="center"/>
    </xf>
    <xf numFmtId="0" fontId="16" fillId="9" borderId="32" xfId="0" applyFont="1" applyFill="1" applyBorder="1" applyAlignment="1">
      <alignment horizontal="center" vertical="center"/>
    </xf>
    <xf numFmtId="0" fontId="16" fillId="10" borderId="31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/>
    </xf>
    <xf numFmtId="0" fontId="16" fillId="10" borderId="33" xfId="0" applyFont="1" applyFill="1" applyBorder="1" applyAlignment="1">
      <alignment horizontal="center" vertical="center"/>
    </xf>
    <xf numFmtId="14" fontId="16" fillId="11" borderId="30" xfId="0" applyNumberFormat="1" applyFont="1" applyFill="1" applyBorder="1" applyAlignment="1">
      <alignment horizontal="center" vertical="center"/>
    </xf>
    <xf numFmtId="14" fontId="16" fillId="11" borderId="28" xfId="0" applyNumberFormat="1" applyFont="1" applyFill="1" applyBorder="1" applyAlignment="1">
      <alignment horizontal="center" vertical="center"/>
    </xf>
    <xf numFmtId="14" fontId="16" fillId="11" borderId="29" xfId="0" applyNumberFormat="1" applyFont="1" applyFill="1" applyBorder="1" applyAlignment="1">
      <alignment horizontal="center" vertical="center"/>
    </xf>
    <xf numFmtId="37" fontId="16" fillId="11" borderId="31" xfId="1" applyNumberFormat="1" applyFont="1" applyFill="1" applyBorder="1" applyAlignment="1">
      <alignment horizontal="center" vertical="center"/>
    </xf>
    <xf numFmtId="37" fontId="16" fillId="11" borderId="32" xfId="1" applyNumberFormat="1" applyFont="1" applyFill="1" applyBorder="1" applyAlignment="1">
      <alignment horizontal="center" vertical="center"/>
    </xf>
    <xf numFmtId="37" fontId="16" fillId="11" borderId="33" xfId="1" applyNumberFormat="1" applyFont="1" applyFill="1" applyBorder="1" applyAlignment="1">
      <alignment horizontal="center" vertical="center"/>
    </xf>
    <xf numFmtId="0" fontId="16" fillId="11" borderId="31" xfId="0" applyFont="1" applyFill="1" applyBorder="1" applyAlignment="1">
      <alignment horizontal="center" vertical="center"/>
    </xf>
    <xf numFmtId="0" fontId="16" fillId="11" borderId="32" xfId="0" applyFont="1" applyFill="1" applyBorder="1" applyAlignment="1">
      <alignment horizontal="center" vertical="center"/>
    </xf>
    <xf numFmtId="0" fontId="16" fillId="11" borderId="33" xfId="0" applyFont="1" applyFill="1" applyBorder="1" applyAlignment="1">
      <alignment horizontal="center" vertical="center"/>
    </xf>
    <xf numFmtId="0" fontId="17" fillId="11" borderId="30" xfId="0" applyFont="1" applyFill="1" applyBorder="1" applyAlignment="1">
      <alignment horizontal="center" vertical="center"/>
    </xf>
    <xf numFmtId="0" fontId="17" fillId="11" borderId="28" xfId="0" applyFont="1" applyFill="1" applyBorder="1" applyAlignment="1">
      <alignment horizontal="center" vertical="center"/>
    </xf>
    <xf numFmtId="0" fontId="17" fillId="11" borderId="29" xfId="0" applyFont="1" applyFill="1" applyBorder="1" applyAlignment="1">
      <alignment horizontal="center" vertical="center"/>
    </xf>
    <xf numFmtId="0" fontId="17" fillId="11" borderId="34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6" fillId="11" borderId="35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11" borderId="36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6" fillId="8" borderId="23" xfId="0" quotePrefix="1" applyFont="1" applyFill="1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/>
    </xf>
    <xf numFmtId="14" fontId="16" fillId="11" borderId="35" xfId="0" applyNumberFormat="1" applyFont="1" applyFill="1" applyBorder="1" applyAlignment="1">
      <alignment horizontal="center" vertical="center"/>
    </xf>
    <xf numFmtId="14" fontId="16" fillId="11" borderId="0" xfId="0" applyNumberFormat="1" applyFont="1" applyFill="1" applyAlignment="1">
      <alignment horizontal="center" vertical="center"/>
    </xf>
    <xf numFmtId="14" fontId="16" fillId="11" borderId="36" xfId="0" applyNumberFormat="1" applyFont="1" applyFill="1" applyBorder="1" applyAlignment="1">
      <alignment horizontal="center" vertical="center"/>
    </xf>
    <xf numFmtId="37" fontId="16" fillId="11" borderId="25" xfId="1" applyNumberFormat="1" applyFont="1" applyFill="1" applyBorder="1" applyAlignment="1">
      <alignment horizontal="center" vertical="center"/>
    </xf>
    <xf numFmtId="37" fontId="16" fillId="11" borderId="23" xfId="1" applyNumberFormat="1" applyFont="1" applyFill="1" applyBorder="1" applyAlignment="1">
      <alignment horizontal="center" vertical="center"/>
    </xf>
    <xf numFmtId="37" fontId="16" fillId="11" borderId="24" xfId="1" applyNumberFormat="1" applyFont="1" applyFill="1" applyBorder="1" applyAlignment="1">
      <alignment horizontal="center" vertical="center"/>
    </xf>
    <xf numFmtId="0" fontId="17" fillId="11" borderId="35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11" borderId="36" xfId="0" applyFont="1" applyFill="1" applyBorder="1" applyAlignment="1">
      <alignment horizontal="center" vertical="center"/>
    </xf>
    <xf numFmtId="0" fontId="17" fillId="11" borderId="37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/>
    </xf>
    <xf numFmtId="0" fontId="16" fillId="11" borderId="38" xfId="0" applyFont="1" applyFill="1" applyBorder="1" applyAlignment="1">
      <alignment horizontal="center" vertical="center"/>
    </xf>
    <xf numFmtId="0" fontId="16" fillId="11" borderId="39" xfId="0" applyFont="1" applyFill="1" applyBorder="1" applyAlignment="1">
      <alignment horizontal="center" vertical="center"/>
    </xf>
    <xf numFmtId="0" fontId="16" fillId="11" borderId="40" xfId="0" applyFont="1" applyFill="1" applyBorder="1" applyAlignment="1">
      <alignment horizontal="center" vertical="center"/>
    </xf>
    <xf numFmtId="0" fontId="16" fillId="6" borderId="38" xfId="0" applyFont="1" applyFill="1" applyBorder="1" applyAlignment="1">
      <alignment horizontal="center" vertical="center"/>
    </xf>
    <xf numFmtId="0" fontId="16" fillId="6" borderId="39" xfId="0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0" fontId="16" fillId="8" borderId="39" xfId="0" quotePrefix="1" applyFont="1" applyFill="1" applyBorder="1" applyAlignment="1">
      <alignment horizontal="center" vertical="center"/>
    </xf>
    <xf numFmtId="0" fontId="16" fillId="9" borderId="39" xfId="0" applyFont="1" applyFill="1" applyBorder="1" applyAlignment="1">
      <alignment horizontal="center" vertical="center"/>
    </xf>
    <xf numFmtId="0" fontId="16" fillId="10" borderId="38" xfId="0" applyFont="1" applyFill="1" applyBorder="1" applyAlignment="1">
      <alignment horizontal="center" vertical="center"/>
    </xf>
    <xf numFmtId="0" fontId="16" fillId="10" borderId="39" xfId="0" applyFont="1" applyFill="1" applyBorder="1" applyAlignment="1">
      <alignment horizontal="center" vertical="center"/>
    </xf>
    <xf numFmtId="0" fontId="16" fillId="10" borderId="40" xfId="0" applyFont="1" applyFill="1" applyBorder="1" applyAlignment="1">
      <alignment horizontal="center" vertical="center"/>
    </xf>
    <xf numFmtId="14" fontId="16" fillId="11" borderId="38" xfId="0" applyNumberFormat="1" applyFont="1" applyFill="1" applyBorder="1" applyAlignment="1">
      <alignment horizontal="center" vertical="center"/>
    </xf>
    <xf numFmtId="14" fontId="16" fillId="11" borderId="39" xfId="0" applyNumberFormat="1" applyFont="1" applyFill="1" applyBorder="1" applyAlignment="1">
      <alignment horizontal="center" vertical="center"/>
    </xf>
    <xf numFmtId="14" fontId="16" fillId="11" borderId="40" xfId="0" applyNumberFormat="1" applyFont="1" applyFill="1" applyBorder="1" applyAlignment="1">
      <alignment horizontal="center" vertical="center"/>
    </xf>
    <xf numFmtId="37" fontId="16" fillId="11" borderId="38" xfId="1" applyNumberFormat="1" applyFont="1" applyFill="1" applyBorder="1" applyAlignment="1">
      <alignment horizontal="center" vertical="center"/>
    </xf>
    <xf numFmtId="37" fontId="16" fillId="11" borderId="39" xfId="1" applyNumberFormat="1" applyFont="1" applyFill="1" applyBorder="1" applyAlignment="1">
      <alignment horizontal="center" vertical="center"/>
    </xf>
    <xf numFmtId="37" fontId="16" fillId="11" borderId="40" xfId="1" applyNumberFormat="1" applyFont="1" applyFill="1" applyBorder="1" applyAlignment="1">
      <alignment horizontal="center" vertical="center"/>
    </xf>
    <xf numFmtId="0" fontId="17" fillId="11" borderId="38" xfId="0" applyFont="1" applyFill="1" applyBorder="1" applyAlignment="1">
      <alignment horizontal="center" vertical="center"/>
    </xf>
    <xf numFmtId="0" fontId="17" fillId="11" borderId="39" xfId="0" applyFont="1" applyFill="1" applyBorder="1" applyAlignment="1">
      <alignment horizontal="center" vertical="center"/>
    </xf>
    <xf numFmtId="0" fontId="17" fillId="11" borderId="40" xfId="0" applyFont="1" applyFill="1" applyBorder="1" applyAlignment="1">
      <alignment horizontal="center" vertical="center"/>
    </xf>
    <xf numFmtId="0" fontId="17" fillId="11" borderId="41" xfId="0" applyFont="1" applyFill="1" applyBorder="1" applyAlignment="1">
      <alignment horizontal="center" vertical="center"/>
    </xf>
    <xf numFmtId="0" fontId="15" fillId="13" borderId="42" xfId="0" applyFont="1" applyFill="1" applyBorder="1" applyAlignment="1">
      <alignment horizontal="center" vertical="center"/>
    </xf>
    <xf numFmtId="0" fontId="15" fillId="13" borderId="43" xfId="0" applyFont="1" applyFill="1" applyBorder="1" applyAlignment="1">
      <alignment horizontal="center" vertical="center"/>
    </xf>
    <xf numFmtId="0" fontId="15" fillId="13" borderId="44" xfId="0" applyFont="1" applyFill="1" applyBorder="1" applyAlignment="1">
      <alignment horizontal="center" vertical="center"/>
    </xf>
    <xf numFmtId="0" fontId="16" fillId="13" borderId="45" xfId="0" applyFont="1" applyFill="1" applyBorder="1" applyAlignment="1">
      <alignment horizontal="center" vertical="center"/>
    </xf>
    <xf numFmtId="0" fontId="16" fillId="13" borderId="43" xfId="0" applyFont="1" applyFill="1" applyBorder="1" applyAlignment="1">
      <alignment horizontal="center" vertical="center"/>
    </xf>
    <xf numFmtId="0" fontId="16" fillId="13" borderId="44" xfId="0" applyFont="1" applyFill="1" applyBorder="1" applyAlignment="1">
      <alignment horizontal="center" vertical="center"/>
    </xf>
    <xf numFmtId="0" fontId="16" fillId="6" borderId="45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16" fillId="6" borderId="44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16" fillId="8" borderId="45" xfId="0" applyFont="1" applyFill="1" applyBorder="1" applyAlignment="1">
      <alignment horizontal="center" vertical="center"/>
    </xf>
    <xf numFmtId="0" fontId="16" fillId="8" borderId="43" xfId="0" applyFont="1" applyFill="1" applyBorder="1" applyAlignment="1">
      <alignment horizontal="center" vertical="center"/>
    </xf>
    <xf numFmtId="0" fontId="16" fillId="8" borderId="44" xfId="0" applyFont="1" applyFill="1" applyBorder="1" applyAlignment="1">
      <alignment horizontal="center" vertical="center"/>
    </xf>
    <xf numFmtId="0" fontId="16" fillId="9" borderId="43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43" xfId="0" applyFont="1" applyFill="1" applyBorder="1" applyAlignment="1">
      <alignment horizontal="center" vertical="center"/>
    </xf>
    <xf numFmtId="0" fontId="16" fillId="10" borderId="44" xfId="0" applyFont="1" applyFill="1" applyBorder="1" applyAlignment="1">
      <alignment horizontal="center" vertical="center"/>
    </xf>
    <xf numFmtId="14" fontId="16" fillId="13" borderId="45" xfId="0" applyNumberFormat="1" applyFont="1" applyFill="1" applyBorder="1" applyAlignment="1">
      <alignment horizontal="center" vertical="center"/>
    </xf>
    <xf numFmtId="14" fontId="16" fillId="13" borderId="43" xfId="0" applyNumberFormat="1" applyFont="1" applyFill="1" applyBorder="1" applyAlignment="1">
      <alignment horizontal="center" vertical="center"/>
    </xf>
    <xf numFmtId="14" fontId="16" fillId="13" borderId="44" xfId="0" applyNumberFormat="1" applyFont="1" applyFill="1" applyBorder="1" applyAlignment="1">
      <alignment horizontal="center" vertical="center"/>
    </xf>
    <xf numFmtId="0" fontId="16" fillId="13" borderId="45" xfId="0" applyFont="1" applyFill="1" applyBorder="1" applyAlignment="1">
      <alignment horizontal="center" vertical="center"/>
    </xf>
    <xf numFmtId="0" fontId="16" fillId="13" borderId="43" xfId="0" applyFont="1" applyFill="1" applyBorder="1" applyAlignment="1">
      <alignment horizontal="center" vertical="center"/>
    </xf>
    <xf numFmtId="0" fontId="16" fillId="13" borderId="44" xfId="0" applyFont="1" applyFill="1" applyBorder="1" applyAlignment="1">
      <alignment horizontal="center" vertical="center"/>
    </xf>
    <xf numFmtId="0" fontId="16" fillId="13" borderId="26" xfId="0" applyFont="1" applyFill="1" applyBorder="1" applyAlignment="1">
      <alignment horizontal="center" vertical="center"/>
    </xf>
    <xf numFmtId="0" fontId="16" fillId="13" borderId="46" xfId="0" applyFont="1" applyFill="1" applyBorder="1" applyAlignment="1">
      <alignment horizontal="left" vertical="center"/>
    </xf>
    <xf numFmtId="0" fontId="16" fillId="13" borderId="32" xfId="0" applyFont="1" applyFill="1" applyBorder="1" applyAlignment="1">
      <alignment horizontal="left" vertical="center"/>
    </xf>
    <xf numFmtId="0" fontId="16" fillId="13" borderId="33" xfId="0" applyFont="1" applyFill="1" applyBorder="1" applyAlignment="1">
      <alignment horizontal="left" vertical="center"/>
    </xf>
    <xf numFmtId="0" fontId="16" fillId="13" borderId="31" xfId="0" applyFont="1" applyFill="1" applyBorder="1" applyAlignment="1">
      <alignment horizontal="left" vertical="center" wrapText="1"/>
    </xf>
    <xf numFmtId="0" fontId="16" fillId="13" borderId="32" xfId="0" applyFont="1" applyFill="1" applyBorder="1" applyAlignment="1">
      <alignment horizontal="left" vertical="center" wrapText="1"/>
    </xf>
    <xf numFmtId="0" fontId="16" fillId="13" borderId="33" xfId="0" applyFont="1" applyFill="1" applyBorder="1" applyAlignment="1">
      <alignment horizontal="left" vertical="center" wrapText="1"/>
    </xf>
    <xf numFmtId="0" fontId="16" fillId="13" borderId="31" xfId="0" applyFont="1" applyFill="1" applyBorder="1" applyAlignment="1">
      <alignment horizontal="center" vertical="center"/>
    </xf>
    <xf numFmtId="0" fontId="16" fillId="13" borderId="33" xfId="0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center" vertical="center"/>
    </xf>
    <xf numFmtId="0" fontId="16" fillId="6" borderId="33" xfId="0" applyFont="1" applyFill="1" applyBorder="1" applyAlignment="1">
      <alignment horizontal="center" vertical="center"/>
    </xf>
    <xf numFmtId="0" fontId="16" fillId="10" borderId="31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/>
    </xf>
    <xf numFmtId="0" fontId="16" fillId="10" borderId="33" xfId="0" applyFont="1" applyFill="1" applyBorder="1" applyAlignment="1">
      <alignment horizontal="center" vertical="center"/>
    </xf>
    <xf numFmtId="14" fontId="16" fillId="13" borderId="31" xfId="0" applyNumberFormat="1" applyFont="1" applyFill="1" applyBorder="1" applyAlignment="1">
      <alignment horizontal="center" vertical="center"/>
    </xf>
    <xf numFmtId="14" fontId="16" fillId="13" borderId="32" xfId="0" applyNumberFormat="1" applyFont="1" applyFill="1" applyBorder="1" applyAlignment="1">
      <alignment horizontal="center" vertical="center"/>
    </xf>
    <xf numFmtId="14" fontId="16" fillId="13" borderId="33" xfId="0" applyNumberFormat="1" applyFont="1" applyFill="1" applyBorder="1" applyAlignment="1">
      <alignment horizontal="center" vertical="center"/>
    </xf>
    <xf numFmtId="2" fontId="16" fillId="13" borderId="31" xfId="0" applyNumberFormat="1" applyFont="1" applyFill="1" applyBorder="1" applyAlignment="1">
      <alignment horizontal="center" vertical="center"/>
    </xf>
    <xf numFmtId="0" fontId="16" fillId="13" borderId="32" xfId="0" applyFont="1" applyFill="1" applyBorder="1" applyAlignment="1">
      <alignment horizontal="center" vertical="center"/>
    </xf>
    <xf numFmtId="0" fontId="17" fillId="13" borderId="30" xfId="0" applyFont="1" applyFill="1" applyBorder="1" applyAlignment="1">
      <alignment horizontal="center" vertical="center"/>
    </xf>
    <xf numFmtId="0" fontId="17" fillId="13" borderId="28" xfId="0" applyFont="1" applyFill="1" applyBorder="1" applyAlignment="1">
      <alignment horizontal="center" vertical="center"/>
    </xf>
    <xf numFmtId="0" fontId="17" fillId="13" borderId="29" xfId="0" applyFont="1" applyFill="1" applyBorder="1" applyAlignment="1">
      <alignment horizontal="center" vertical="center"/>
    </xf>
    <xf numFmtId="0" fontId="17" fillId="13" borderId="34" xfId="0" applyFont="1" applyFill="1" applyBorder="1" applyAlignment="1">
      <alignment horizontal="center" vertical="center"/>
    </xf>
    <xf numFmtId="165" fontId="16" fillId="13" borderId="31" xfId="0" applyNumberFormat="1" applyFont="1" applyFill="1" applyBorder="1" applyAlignment="1">
      <alignment horizontal="center" vertical="center"/>
    </xf>
    <xf numFmtId="165" fontId="16" fillId="13" borderId="32" xfId="0" applyNumberFormat="1" applyFont="1" applyFill="1" applyBorder="1" applyAlignment="1">
      <alignment horizontal="center" vertical="center"/>
    </xf>
    <xf numFmtId="165" fontId="16" fillId="13" borderId="33" xfId="0" applyNumberFormat="1" applyFont="1" applyFill="1" applyBorder="1" applyAlignment="1">
      <alignment horizontal="center" vertical="center"/>
    </xf>
    <xf numFmtId="0" fontId="17" fillId="13" borderId="35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13" borderId="36" xfId="0" applyFont="1" applyFill="1" applyBorder="1" applyAlignment="1">
      <alignment horizontal="center" vertical="center"/>
    </xf>
    <xf numFmtId="0" fontId="17" fillId="13" borderId="37" xfId="0" applyFont="1" applyFill="1" applyBorder="1" applyAlignment="1">
      <alignment horizontal="center" vertical="center"/>
    </xf>
    <xf numFmtId="0" fontId="16" fillId="13" borderId="31" xfId="0" applyFont="1" applyFill="1" applyBorder="1" applyAlignment="1">
      <alignment horizontal="left" vertical="center"/>
    </xf>
    <xf numFmtId="0" fontId="16" fillId="13" borderId="27" xfId="0" applyFont="1" applyFill="1" applyBorder="1" applyAlignment="1">
      <alignment horizontal="left" vertical="center"/>
    </xf>
    <xf numFmtId="0" fontId="16" fillId="13" borderId="28" xfId="0" applyFont="1" applyFill="1" applyBorder="1" applyAlignment="1">
      <alignment horizontal="left" vertical="center"/>
    </xf>
    <xf numFmtId="0" fontId="16" fillId="13" borderId="29" xfId="0" applyFont="1" applyFill="1" applyBorder="1" applyAlignment="1">
      <alignment horizontal="left" vertical="center"/>
    </xf>
    <xf numFmtId="0" fontId="16" fillId="13" borderId="30" xfId="0" applyFont="1" applyFill="1" applyBorder="1" applyAlignment="1">
      <alignment horizontal="center" vertical="center"/>
    </xf>
    <xf numFmtId="0" fontId="16" fillId="13" borderId="29" xfId="0" applyFont="1" applyFill="1" applyBorder="1" applyAlignment="1">
      <alignment horizontal="center" vertical="center"/>
    </xf>
    <xf numFmtId="14" fontId="16" fillId="13" borderId="30" xfId="0" applyNumberFormat="1" applyFont="1" applyFill="1" applyBorder="1" applyAlignment="1">
      <alignment horizontal="center" vertical="center"/>
    </xf>
    <xf numFmtId="14" fontId="16" fillId="13" borderId="28" xfId="0" applyNumberFormat="1" applyFont="1" applyFill="1" applyBorder="1" applyAlignment="1">
      <alignment horizontal="center" vertical="center"/>
    </xf>
    <xf numFmtId="14" fontId="16" fillId="13" borderId="29" xfId="0" applyNumberFormat="1" applyFont="1" applyFill="1" applyBorder="1" applyAlignment="1">
      <alignment horizontal="center" vertical="center"/>
    </xf>
    <xf numFmtId="0" fontId="16" fillId="13" borderId="22" xfId="0" applyFont="1" applyFill="1" applyBorder="1" applyAlignment="1">
      <alignment horizontal="left" vertical="center"/>
    </xf>
    <xf numFmtId="0" fontId="16" fillId="13" borderId="23" xfId="0" applyFont="1" applyFill="1" applyBorder="1" applyAlignment="1">
      <alignment horizontal="left" vertical="center"/>
    </xf>
    <xf numFmtId="0" fontId="16" fillId="13" borderId="24" xfId="0" applyFont="1" applyFill="1" applyBorder="1" applyAlignment="1">
      <alignment horizontal="left" vertical="center"/>
    </xf>
    <xf numFmtId="0" fontId="16" fillId="13" borderId="25" xfId="0" applyFont="1" applyFill="1" applyBorder="1" applyAlignment="1">
      <alignment horizontal="center" vertical="center"/>
    </xf>
    <xf numFmtId="0" fontId="16" fillId="13" borderId="24" xfId="0" applyFont="1" applyFill="1" applyBorder="1" applyAlignment="1">
      <alignment horizontal="center" vertical="center"/>
    </xf>
    <xf numFmtId="14" fontId="16" fillId="13" borderId="25" xfId="0" applyNumberFormat="1" applyFont="1" applyFill="1" applyBorder="1" applyAlignment="1">
      <alignment horizontal="center" vertical="center"/>
    </xf>
    <xf numFmtId="14" fontId="16" fillId="13" borderId="23" xfId="0" applyNumberFormat="1" applyFont="1" applyFill="1" applyBorder="1" applyAlignment="1">
      <alignment horizontal="center" vertical="center"/>
    </xf>
    <xf numFmtId="14" fontId="16" fillId="13" borderId="24" xfId="0" applyNumberFormat="1" applyFont="1" applyFill="1" applyBorder="1" applyAlignment="1">
      <alignment horizontal="center" vertical="center"/>
    </xf>
    <xf numFmtId="14" fontId="16" fillId="13" borderId="35" xfId="0" applyNumberFormat="1" applyFont="1" applyFill="1" applyBorder="1" applyAlignment="1">
      <alignment horizontal="center" vertical="center"/>
    </xf>
    <xf numFmtId="14" fontId="16" fillId="13" borderId="0" xfId="0" applyNumberFormat="1" applyFont="1" applyFill="1" applyAlignment="1">
      <alignment horizontal="center" vertical="center"/>
    </xf>
    <xf numFmtId="14" fontId="16" fillId="13" borderId="36" xfId="0" applyNumberFormat="1" applyFont="1" applyFill="1" applyBorder="1" applyAlignment="1">
      <alignment horizontal="center" vertical="center"/>
    </xf>
    <xf numFmtId="165" fontId="23" fillId="13" borderId="31" xfId="0" applyNumberFormat="1" applyFont="1" applyFill="1" applyBorder="1" applyAlignment="1">
      <alignment horizontal="center" vertical="center"/>
    </xf>
    <xf numFmtId="165" fontId="23" fillId="13" borderId="32" xfId="0" applyNumberFormat="1" applyFont="1" applyFill="1" applyBorder="1" applyAlignment="1">
      <alignment horizontal="center" vertical="center"/>
    </xf>
    <xf numFmtId="165" fontId="23" fillId="13" borderId="33" xfId="0" applyNumberFormat="1" applyFont="1" applyFill="1" applyBorder="1" applyAlignment="1">
      <alignment horizontal="center" vertical="center"/>
    </xf>
    <xf numFmtId="0" fontId="16" fillId="13" borderId="47" xfId="0" applyFont="1" applyFill="1" applyBorder="1" applyAlignment="1">
      <alignment horizontal="left" vertical="center"/>
    </xf>
    <xf numFmtId="0" fontId="16" fillId="13" borderId="39" xfId="0" applyFont="1" applyFill="1" applyBorder="1" applyAlignment="1">
      <alignment horizontal="left" vertical="center"/>
    </xf>
    <xf numFmtId="0" fontId="16" fillId="13" borderId="40" xfId="0" applyFont="1" applyFill="1" applyBorder="1" applyAlignment="1">
      <alignment horizontal="left" vertical="center"/>
    </xf>
    <xf numFmtId="0" fontId="16" fillId="13" borderId="48" xfId="0" applyFont="1" applyFill="1" applyBorder="1" applyAlignment="1">
      <alignment horizontal="left" vertical="center"/>
    </xf>
    <xf numFmtId="0" fontId="16" fillId="13" borderId="49" xfId="0" applyFont="1" applyFill="1" applyBorder="1" applyAlignment="1">
      <alignment horizontal="left" vertical="center"/>
    </xf>
    <xf numFmtId="0" fontId="16" fillId="13" borderId="50" xfId="0" applyFont="1" applyFill="1" applyBorder="1" applyAlignment="1">
      <alignment horizontal="left" vertical="center"/>
    </xf>
    <xf numFmtId="0" fontId="16" fillId="6" borderId="48" xfId="0" applyFont="1" applyFill="1" applyBorder="1" applyAlignment="1">
      <alignment horizontal="center" vertical="center"/>
    </xf>
    <xf numFmtId="0" fontId="16" fillId="6" borderId="49" xfId="0" applyFont="1" applyFill="1" applyBorder="1" applyAlignment="1">
      <alignment horizontal="center" vertical="center"/>
    </xf>
    <xf numFmtId="0" fontId="16" fillId="6" borderId="50" xfId="0" applyFont="1" applyFill="1" applyBorder="1" applyAlignment="1">
      <alignment horizontal="center" vertical="center"/>
    </xf>
    <xf numFmtId="0" fontId="16" fillId="7" borderId="49" xfId="0" applyFont="1" applyFill="1" applyBorder="1" applyAlignment="1">
      <alignment horizontal="center" vertical="center"/>
    </xf>
    <xf numFmtId="0" fontId="16" fillId="8" borderId="48" xfId="0" applyFont="1" applyFill="1" applyBorder="1" applyAlignment="1">
      <alignment horizontal="center" vertical="center"/>
    </xf>
    <xf numFmtId="0" fontId="16" fillId="8" borderId="49" xfId="0" quotePrefix="1" applyFont="1" applyFill="1" applyBorder="1" applyAlignment="1">
      <alignment horizontal="center" vertical="center"/>
    </xf>
    <xf numFmtId="166" fontId="16" fillId="8" borderId="33" xfId="0" applyNumberFormat="1" applyFont="1" applyFill="1" applyBorder="1" applyAlignment="1">
      <alignment horizontal="center" vertical="center"/>
    </xf>
    <xf numFmtId="0" fontId="16" fillId="9" borderId="28" xfId="0" applyFont="1" applyFill="1" applyBorder="1" applyAlignment="1">
      <alignment horizontal="center" vertical="center"/>
    </xf>
    <xf numFmtId="0" fontId="16" fillId="10" borderId="48" xfId="0" applyFont="1" applyFill="1" applyBorder="1" applyAlignment="1">
      <alignment horizontal="center" vertical="center"/>
    </xf>
    <xf numFmtId="0" fontId="16" fillId="10" borderId="49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14" fontId="16" fillId="13" borderId="38" xfId="0" applyNumberFormat="1" applyFont="1" applyFill="1" applyBorder="1" applyAlignment="1">
      <alignment horizontal="center" vertical="center"/>
    </xf>
    <xf numFmtId="14" fontId="16" fillId="13" borderId="39" xfId="0" applyNumberFormat="1" applyFont="1" applyFill="1" applyBorder="1" applyAlignment="1">
      <alignment horizontal="center" vertical="center"/>
    </xf>
    <xf numFmtId="14" fontId="16" fillId="13" borderId="40" xfId="0" applyNumberFormat="1" applyFont="1" applyFill="1" applyBorder="1" applyAlignment="1">
      <alignment horizontal="center" vertical="center"/>
    </xf>
    <xf numFmtId="2" fontId="16" fillId="13" borderId="48" xfId="0" applyNumberFormat="1" applyFont="1" applyFill="1" applyBorder="1" applyAlignment="1">
      <alignment horizontal="center" vertical="center"/>
    </xf>
    <xf numFmtId="0" fontId="16" fillId="13" borderId="49" xfId="0" applyFont="1" applyFill="1" applyBorder="1" applyAlignment="1">
      <alignment horizontal="center" vertical="center"/>
    </xf>
    <xf numFmtId="0" fontId="16" fillId="13" borderId="50" xfId="0" applyFont="1" applyFill="1" applyBorder="1" applyAlignment="1">
      <alignment horizontal="center" vertical="center"/>
    </xf>
    <xf numFmtId="0" fontId="16" fillId="13" borderId="51" xfId="0" applyFont="1" applyFill="1" applyBorder="1" applyAlignment="1">
      <alignment horizontal="left" vertical="center"/>
    </xf>
    <xf numFmtId="2" fontId="16" fillId="13" borderId="32" xfId="0" applyNumberFormat="1" applyFont="1" applyFill="1" applyBorder="1" applyAlignment="1">
      <alignment horizontal="center" vertical="center"/>
    </xf>
    <xf numFmtId="2" fontId="16" fillId="13" borderId="33" xfId="0" applyNumberFormat="1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left" vertical="center"/>
    </xf>
    <xf numFmtId="0" fontId="16" fillId="13" borderId="7" xfId="0" applyFont="1" applyFill="1" applyBorder="1" applyAlignment="1">
      <alignment horizontal="left" vertical="center"/>
    </xf>
    <xf numFmtId="0" fontId="16" fillId="13" borderId="15" xfId="0" applyFont="1" applyFill="1" applyBorder="1" applyAlignment="1">
      <alignment horizontal="left" vertical="center"/>
    </xf>
    <xf numFmtId="0" fontId="16" fillId="13" borderId="17" xfId="0" applyFont="1" applyFill="1" applyBorder="1" applyAlignment="1">
      <alignment horizontal="left" vertical="center"/>
    </xf>
    <xf numFmtId="0" fontId="16" fillId="13" borderId="18" xfId="0" applyFont="1" applyFill="1" applyBorder="1" applyAlignment="1">
      <alignment horizontal="left" vertical="center"/>
    </xf>
    <xf numFmtId="0" fontId="16" fillId="13" borderId="19" xfId="0" applyFont="1" applyFill="1" applyBorder="1" applyAlignment="1">
      <alignment horizontal="left" vertical="center"/>
    </xf>
    <xf numFmtId="0" fontId="16" fillId="13" borderId="17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center" vertical="center"/>
    </xf>
    <xf numFmtId="0" fontId="16" fillId="8" borderId="18" xfId="0" quotePrefix="1" applyFont="1" applyFill="1" applyBorder="1" applyAlignment="1">
      <alignment horizontal="center" vertical="center"/>
    </xf>
    <xf numFmtId="166" fontId="16" fillId="8" borderId="19" xfId="0" applyNumberFormat="1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/>
    </xf>
    <xf numFmtId="0" fontId="16" fillId="10" borderId="19" xfId="0" applyFont="1" applyFill="1" applyBorder="1" applyAlignment="1">
      <alignment horizontal="center" vertical="center"/>
    </xf>
    <xf numFmtId="14" fontId="16" fillId="13" borderId="20" xfId="0" applyNumberFormat="1" applyFont="1" applyFill="1" applyBorder="1" applyAlignment="1">
      <alignment horizontal="center" vertical="center"/>
    </xf>
    <xf numFmtId="2" fontId="16" fillId="13" borderId="17" xfId="0" applyNumberFormat="1" applyFont="1" applyFill="1" applyBorder="1" applyAlignment="1">
      <alignment horizontal="center" vertical="center"/>
    </xf>
    <xf numFmtId="0" fontId="16" fillId="13" borderId="18" xfId="0" applyFont="1" applyFill="1" applyBorder="1" applyAlignment="1">
      <alignment horizontal="center" vertical="center"/>
    </xf>
    <xf numFmtId="0" fontId="17" fillId="13" borderId="16" xfId="0" applyFont="1" applyFill="1" applyBorder="1" applyAlignment="1">
      <alignment horizontal="center" vertical="center"/>
    </xf>
    <xf numFmtId="0" fontId="17" fillId="13" borderId="7" xfId="0" applyFont="1" applyFill="1" applyBorder="1" applyAlignment="1">
      <alignment horizontal="center" vertical="center"/>
    </xf>
    <xf numFmtId="0" fontId="17" fillId="13" borderId="15" xfId="0" applyFont="1" applyFill="1" applyBorder="1" applyAlignment="1">
      <alignment horizontal="center" vertical="center"/>
    </xf>
    <xf numFmtId="0" fontId="17" fillId="13" borderId="52" xfId="0" applyFont="1" applyFill="1" applyBorder="1" applyAlignment="1">
      <alignment horizontal="center" vertical="center"/>
    </xf>
    <xf numFmtId="0" fontId="15" fillId="14" borderId="53" xfId="0" applyFont="1" applyFill="1" applyBorder="1" applyAlignment="1">
      <alignment horizontal="center" vertical="center"/>
    </xf>
    <xf numFmtId="0" fontId="15" fillId="14" borderId="12" xfId="0" applyFont="1" applyFill="1" applyBorder="1" applyAlignment="1">
      <alignment horizontal="center" vertical="center"/>
    </xf>
    <xf numFmtId="0" fontId="15" fillId="14" borderId="13" xfId="0" applyFont="1" applyFill="1" applyBorder="1" applyAlignment="1">
      <alignment horizontal="center" vertical="center"/>
    </xf>
    <xf numFmtId="0" fontId="16" fillId="14" borderId="54" xfId="0" applyFont="1" applyFill="1" applyBorder="1" applyAlignment="1">
      <alignment horizontal="left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14" fontId="16" fillId="14" borderId="54" xfId="0" applyNumberFormat="1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0" fontId="16" fillId="14" borderId="12" xfId="0" applyFont="1" applyFill="1" applyBorder="1" applyAlignment="1">
      <alignment horizontal="center" vertical="center"/>
    </xf>
    <xf numFmtId="0" fontId="16" fillId="14" borderId="13" xfId="0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0" fontId="16" fillId="14" borderId="12" xfId="0" applyFont="1" applyFill="1" applyBorder="1" applyAlignment="1">
      <alignment horizontal="center" vertical="center"/>
    </xf>
    <xf numFmtId="0" fontId="16" fillId="14" borderId="13" xfId="0" applyFont="1" applyFill="1" applyBorder="1" applyAlignment="1">
      <alignment horizontal="center" vertical="center"/>
    </xf>
    <xf numFmtId="0" fontId="16" fillId="14" borderId="55" xfId="0" applyFont="1" applyFill="1" applyBorder="1" applyAlignment="1">
      <alignment horizontal="center" vertical="center"/>
    </xf>
    <xf numFmtId="0" fontId="16" fillId="14" borderId="56" xfId="0" applyFont="1" applyFill="1" applyBorder="1" applyAlignment="1">
      <alignment horizontal="left" vertical="center"/>
    </xf>
    <xf numFmtId="0" fontId="16" fillId="14" borderId="57" xfId="0" applyFont="1" applyFill="1" applyBorder="1" applyAlignment="1">
      <alignment horizontal="left" vertical="center"/>
    </xf>
    <xf numFmtId="0" fontId="16" fillId="14" borderId="31" xfId="0" applyFont="1" applyFill="1" applyBorder="1" applyAlignment="1">
      <alignment vertical="center"/>
    </xf>
    <xf numFmtId="0" fontId="16" fillId="14" borderId="32" xfId="0" applyFont="1" applyFill="1" applyBorder="1" applyAlignment="1">
      <alignment vertical="center"/>
    </xf>
    <xf numFmtId="0" fontId="16" fillId="14" borderId="33" xfId="0" applyFont="1" applyFill="1" applyBorder="1" applyAlignment="1">
      <alignment vertical="center"/>
    </xf>
    <xf numFmtId="0" fontId="16" fillId="14" borderId="31" xfId="0" applyFont="1" applyFill="1" applyBorder="1" applyAlignment="1">
      <alignment horizontal="center" vertical="center"/>
    </xf>
    <xf numFmtId="0" fontId="16" fillId="14" borderId="33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6" fillId="8" borderId="25" xfId="0" applyFont="1" applyFill="1" applyBorder="1" applyAlignment="1">
      <alignment horizontal="center" vertical="center"/>
    </xf>
    <xf numFmtId="0" fontId="16" fillId="8" borderId="23" xfId="0" applyFont="1" applyFill="1" applyBorder="1" applyAlignment="1">
      <alignment horizontal="center" vertical="center"/>
    </xf>
    <xf numFmtId="0" fontId="16" fillId="8" borderId="24" xfId="0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/>
    </xf>
    <xf numFmtId="14" fontId="16" fillId="14" borderId="30" xfId="0" applyNumberFormat="1" applyFont="1" applyFill="1" applyBorder="1" applyAlignment="1">
      <alignment horizontal="center" vertical="center"/>
    </xf>
    <xf numFmtId="14" fontId="16" fillId="14" borderId="28" xfId="0" applyNumberFormat="1" applyFont="1" applyFill="1" applyBorder="1" applyAlignment="1">
      <alignment horizontal="center" vertical="center"/>
    </xf>
    <xf numFmtId="14" fontId="16" fillId="14" borderId="29" xfId="0" applyNumberFormat="1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/>
    </xf>
    <xf numFmtId="0" fontId="24" fillId="14" borderId="23" xfId="0" applyFont="1" applyFill="1" applyBorder="1" applyAlignment="1">
      <alignment horizontal="center" vertical="center"/>
    </xf>
    <xf numFmtId="0" fontId="24" fillId="14" borderId="24" xfId="0" applyFont="1" applyFill="1" applyBorder="1" applyAlignment="1">
      <alignment horizontal="center" vertical="center"/>
    </xf>
    <xf numFmtId="0" fontId="16" fillId="14" borderId="32" xfId="0" applyFont="1" applyFill="1" applyBorder="1" applyAlignment="1">
      <alignment horizontal="center" vertical="center"/>
    </xf>
    <xf numFmtId="0" fontId="17" fillId="14" borderId="31" xfId="0" applyFont="1" applyFill="1" applyBorder="1" applyAlignment="1">
      <alignment horizontal="center" vertical="center"/>
    </xf>
    <xf numFmtId="0" fontId="17" fillId="14" borderId="32" xfId="0" applyFont="1" applyFill="1" applyBorder="1" applyAlignment="1">
      <alignment horizontal="center" vertical="center"/>
    </xf>
    <xf numFmtId="0" fontId="17" fillId="14" borderId="33" xfId="0" applyFont="1" applyFill="1" applyBorder="1" applyAlignment="1">
      <alignment horizontal="center" vertical="center"/>
    </xf>
    <xf numFmtId="0" fontId="17" fillId="14" borderId="58" xfId="0" applyFont="1" applyFill="1" applyBorder="1" applyAlignment="1">
      <alignment horizontal="center" vertical="center"/>
    </xf>
    <xf numFmtId="0" fontId="16" fillId="14" borderId="22" xfId="0" applyFont="1" applyFill="1" applyBorder="1" applyAlignment="1">
      <alignment horizontal="left" vertical="center"/>
    </xf>
    <xf numFmtId="0" fontId="16" fillId="14" borderId="23" xfId="0" applyFont="1" applyFill="1" applyBorder="1" applyAlignment="1">
      <alignment horizontal="left" vertical="center"/>
    </xf>
    <xf numFmtId="0" fontId="16" fillId="14" borderId="24" xfId="0" applyFont="1" applyFill="1" applyBorder="1" applyAlignment="1">
      <alignment horizontal="left" vertical="center"/>
    </xf>
    <xf numFmtId="0" fontId="16" fillId="14" borderId="25" xfId="0" applyFont="1" applyFill="1" applyBorder="1" applyAlignment="1">
      <alignment horizontal="left" vertical="center"/>
    </xf>
    <xf numFmtId="0" fontId="16" fillId="14" borderId="30" xfId="0" applyFont="1" applyFill="1" applyBorder="1" applyAlignment="1">
      <alignment horizontal="center" vertical="center"/>
    </xf>
    <xf numFmtId="0" fontId="16" fillId="14" borderId="29" xfId="0" applyFont="1" applyFill="1" applyBorder="1" applyAlignment="1">
      <alignment horizontal="center" vertical="center"/>
    </xf>
    <xf numFmtId="14" fontId="16" fillId="14" borderId="35" xfId="0" applyNumberFormat="1" applyFont="1" applyFill="1" applyBorder="1" applyAlignment="1">
      <alignment horizontal="center" vertical="center"/>
    </xf>
    <xf numFmtId="14" fontId="16" fillId="14" borderId="0" xfId="0" applyNumberFormat="1" applyFont="1" applyFill="1" applyAlignment="1">
      <alignment horizontal="center" vertical="center"/>
    </xf>
    <xf numFmtId="14" fontId="16" fillId="14" borderId="36" xfId="0" applyNumberFormat="1" applyFont="1" applyFill="1" applyBorder="1" applyAlignment="1">
      <alignment horizontal="center" vertical="center"/>
    </xf>
    <xf numFmtId="0" fontId="17" fillId="14" borderId="35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7" fillId="14" borderId="36" xfId="0" applyFont="1" applyFill="1" applyBorder="1" applyAlignment="1">
      <alignment horizontal="center" vertical="center"/>
    </xf>
    <xf numFmtId="0" fontId="17" fillId="14" borderId="34" xfId="0" applyFont="1" applyFill="1" applyBorder="1" applyAlignment="1">
      <alignment horizontal="center" vertical="center"/>
    </xf>
    <xf numFmtId="0" fontId="16" fillId="14" borderId="46" xfId="0" applyFont="1" applyFill="1" applyBorder="1" applyAlignment="1">
      <alignment horizontal="left" vertical="center"/>
    </xf>
    <xf numFmtId="0" fontId="16" fillId="14" borderId="32" xfId="0" applyFont="1" applyFill="1" applyBorder="1" applyAlignment="1">
      <alignment horizontal="left" vertical="center"/>
    </xf>
    <xf numFmtId="0" fontId="16" fillId="14" borderId="33" xfId="0" applyFont="1" applyFill="1" applyBorder="1" applyAlignment="1">
      <alignment horizontal="left" vertical="center"/>
    </xf>
    <xf numFmtId="0" fontId="16" fillId="14" borderId="30" xfId="0" applyFont="1" applyFill="1" applyBorder="1" applyAlignment="1">
      <alignment horizontal="left" vertical="center"/>
    </xf>
    <xf numFmtId="0" fontId="16" fillId="14" borderId="28" xfId="0" applyFont="1" applyFill="1" applyBorder="1" applyAlignment="1">
      <alignment horizontal="left" vertical="center"/>
    </xf>
    <xf numFmtId="0" fontId="16" fillId="14" borderId="29" xfId="0" applyFont="1" applyFill="1" applyBorder="1" applyAlignment="1">
      <alignment horizontal="left" vertical="center"/>
    </xf>
    <xf numFmtId="0" fontId="16" fillId="14" borderId="35" xfId="0" applyFont="1" applyFill="1" applyBorder="1" applyAlignment="1">
      <alignment horizontal="center" vertical="center"/>
    </xf>
    <xf numFmtId="0" fontId="16" fillId="14" borderId="36" xfId="0" applyFont="1" applyFill="1" applyBorder="1" applyAlignment="1">
      <alignment horizontal="center" vertical="center"/>
    </xf>
    <xf numFmtId="165" fontId="16" fillId="14" borderId="31" xfId="0" applyNumberFormat="1" applyFont="1" applyFill="1" applyBorder="1" applyAlignment="1">
      <alignment horizontal="center" vertical="center"/>
    </xf>
    <xf numFmtId="165" fontId="16" fillId="14" borderId="32" xfId="0" applyNumberFormat="1" applyFont="1" applyFill="1" applyBorder="1" applyAlignment="1">
      <alignment horizontal="center" vertical="center"/>
    </xf>
    <xf numFmtId="165" fontId="16" fillId="14" borderId="33" xfId="0" applyNumberFormat="1" applyFont="1" applyFill="1" applyBorder="1" applyAlignment="1">
      <alignment horizontal="center" vertical="center"/>
    </xf>
    <xf numFmtId="0" fontId="17" fillId="14" borderId="37" xfId="0" applyFont="1" applyFill="1" applyBorder="1" applyAlignment="1">
      <alignment horizontal="center" vertical="center"/>
    </xf>
    <xf numFmtId="0" fontId="16" fillId="14" borderId="31" xfId="0" applyFont="1" applyFill="1" applyBorder="1" applyAlignment="1">
      <alignment horizontal="left" vertical="center"/>
    </xf>
    <xf numFmtId="0" fontId="16" fillId="14" borderId="57" xfId="0" applyFont="1" applyFill="1" applyBorder="1" applyAlignment="1">
      <alignment horizontal="center" vertical="center"/>
    </xf>
    <xf numFmtId="166" fontId="16" fillId="6" borderId="33" xfId="0" applyNumberFormat="1" applyFont="1" applyFill="1" applyBorder="1" applyAlignment="1">
      <alignment horizontal="center" vertical="center"/>
    </xf>
    <xf numFmtId="2" fontId="16" fillId="7" borderId="32" xfId="0" applyNumberFormat="1" applyFont="1" applyFill="1" applyBorder="1" applyAlignment="1">
      <alignment horizontal="center" vertical="center"/>
    </xf>
    <xf numFmtId="166" fontId="16" fillId="8" borderId="31" xfId="0" applyNumberFormat="1" applyFont="1" applyFill="1" applyBorder="1" applyAlignment="1">
      <alignment horizontal="center" vertical="center"/>
    </xf>
    <xf numFmtId="2" fontId="16" fillId="9" borderId="32" xfId="0" applyNumberFormat="1" applyFont="1" applyFill="1" applyBorder="1" applyAlignment="1">
      <alignment horizontal="center" vertical="center"/>
    </xf>
    <xf numFmtId="166" fontId="16" fillId="10" borderId="33" xfId="0" applyNumberFormat="1" applyFont="1" applyFill="1" applyBorder="1" applyAlignment="1">
      <alignment horizontal="center" vertical="center"/>
    </xf>
    <xf numFmtId="2" fontId="25" fillId="6" borderId="33" xfId="0" applyNumberFormat="1" applyFont="1" applyFill="1" applyBorder="1" applyAlignment="1">
      <alignment horizontal="center" vertical="center"/>
    </xf>
    <xf numFmtId="2" fontId="25" fillId="8" borderId="31" xfId="0" applyNumberFormat="1" applyFont="1" applyFill="1" applyBorder="1" applyAlignment="1">
      <alignment horizontal="center" vertical="center"/>
    </xf>
    <xf numFmtId="2" fontId="25" fillId="8" borderId="33" xfId="0" applyNumberFormat="1" applyFont="1" applyFill="1" applyBorder="1" applyAlignment="1">
      <alignment horizontal="center" vertical="center"/>
    </xf>
    <xf numFmtId="2" fontId="25" fillId="10" borderId="33" xfId="0" applyNumberFormat="1" applyFont="1" applyFill="1" applyBorder="1" applyAlignment="1">
      <alignment horizontal="center" vertical="center"/>
    </xf>
    <xf numFmtId="1" fontId="16" fillId="14" borderId="31" xfId="0" applyNumberFormat="1" applyFont="1" applyFill="1" applyBorder="1" applyAlignment="1">
      <alignment horizontal="center" vertical="center"/>
    </xf>
    <xf numFmtId="1" fontId="16" fillId="14" borderId="32" xfId="0" applyNumberFormat="1" applyFont="1" applyFill="1" applyBorder="1" applyAlignment="1">
      <alignment horizontal="center" vertical="center"/>
    </xf>
    <xf numFmtId="1" fontId="16" fillId="14" borderId="33" xfId="0" applyNumberFormat="1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vertical="center"/>
    </xf>
    <xf numFmtId="0" fontId="16" fillId="8" borderId="25" xfId="0" applyFont="1" applyFill="1" applyBorder="1" applyAlignment="1">
      <alignment horizontal="center" vertical="center"/>
    </xf>
    <xf numFmtId="0" fontId="16" fillId="8" borderId="24" xfId="0" applyFont="1" applyFill="1" applyBorder="1" applyAlignment="1">
      <alignment horizontal="center" vertical="center"/>
    </xf>
    <xf numFmtId="2" fontId="16" fillId="14" borderId="31" xfId="0" applyNumberFormat="1" applyFont="1" applyFill="1" applyBorder="1" applyAlignment="1">
      <alignment horizontal="center" vertical="center"/>
    </xf>
    <xf numFmtId="2" fontId="16" fillId="14" borderId="32" xfId="0" applyNumberFormat="1" applyFont="1" applyFill="1" applyBorder="1" applyAlignment="1">
      <alignment horizontal="center" vertical="center"/>
    </xf>
    <xf numFmtId="2" fontId="16" fillId="14" borderId="33" xfId="0" applyNumberFormat="1" applyFont="1" applyFill="1" applyBorder="1" applyAlignment="1">
      <alignment horizontal="center" vertical="center"/>
    </xf>
    <xf numFmtId="0" fontId="16" fillId="14" borderId="27" xfId="0" applyFont="1" applyFill="1" applyBorder="1" applyAlignment="1">
      <alignment horizontal="left" vertical="center"/>
    </xf>
    <xf numFmtId="165" fontId="25" fillId="6" borderId="33" xfId="0" applyNumberFormat="1" applyFon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165" fontId="25" fillId="8" borderId="23" xfId="0" applyNumberFormat="1" applyFont="1" applyFill="1" applyBorder="1" applyAlignment="1">
      <alignment horizontal="center" vertical="center"/>
    </xf>
    <xf numFmtId="165" fontId="25" fillId="8" borderId="24" xfId="0" applyNumberFormat="1" applyFont="1" applyFill="1" applyBorder="1" applyAlignment="1">
      <alignment horizontal="center" vertical="center"/>
    </xf>
    <xf numFmtId="0" fontId="16" fillId="9" borderId="31" xfId="0" applyFont="1" applyFill="1" applyBorder="1" applyAlignment="1">
      <alignment horizontal="center" vertical="center"/>
    </xf>
    <xf numFmtId="0" fontId="16" fillId="9" borderId="33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vertical="center"/>
    </xf>
    <xf numFmtId="165" fontId="25" fillId="10" borderId="24" xfId="0" applyNumberFormat="1" applyFont="1" applyFill="1" applyBorder="1" applyAlignment="1">
      <alignment horizontal="center" vertical="center"/>
    </xf>
    <xf numFmtId="2" fontId="25" fillId="8" borderId="32" xfId="0" applyNumberFormat="1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10" borderId="31" xfId="0" applyFont="1" applyFill="1" applyBorder="1" applyAlignment="1">
      <alignment horizontal="center" vertical="center"/>
    </xf>
    <xf numFmtId="0" fontId="16" fillId="14" borderId="31" xfId="0" applyFont="1" applyFill="1" applyBorder="1" applyAlignment="1">
      <alignment horizontal="center" vertical="center"/>
    </xf>
    <xf numFmtId="0" fontId="16" fillId="14" borderId="32" xfId="0" applyFont="1" applyFill="1" applyBorder="1" applyAlignment="1">
      <alignment horizontal="center" vertical="center"/>
    </xf>
    <xf numFmtId="0" fontId="28" fillId="14" borderId="33" xfId="0" applyFont="1" applyFill="1" applyBorder="1" applyAlignment="1">
      <alignment horizontal="center" vertical="center"/>
    </xf>
    <xf numFmtId="1" fontId="25" fillId="6" borderId="33" xfId="0" applyNumberFormat="1" applyFont="1" applyFill="1" applyBorder="1" applyAlignment="1">
      <alignment horizontal="center" vertical="center"/>
    </xf>
    <xf numFmtId="1" fontId="25" fillId="8" borderId="32" xfId="0" applyNumberFormat="1" applyFont="1" applyFill="1" applyBorder="1" applyAlignment="1">
      <alignment horizontal="center" vertical="center"/>
    </xf>
    <xf numFmtId="1" fontId="25" fillId="8" borderId="33" xfId="0" applyNumberFormat="1" applyFont="1" applyFill="1" applyBorder="1" applyAlignment="1">
      <alignment horizontal="center" vertical="center"/>
    </xf>
    <xf numFmtId="1" fontId="25" fillId="10" borderId="33" xfId="0" applyNumberFormat="1" applyFont="1" applyFill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0" fontId="16" fillId="14" borderId="59" xfId="0" applyFont="1" applyFill="1" applyBorder="1" applyAlignment="1">
      <alignment horizontal="left" vertical="center"/>
    </xf>
    <xf numFmtId="0" fontId="16" fillId="14" borderId="18" xfId="0" applyFont="1" applyFill="1" applyBorder="1" applyAlignment="1">
      <alignment horizontal="left" vertical="center"/>
    </xf>
    <xf numFmtId="0" fontId="16" fillId="14" borderId="17" xfId="0" applyFont="1" applyFill="1" applyBorder="1" applyAlignment="1">
      <alignment horizontal="left" vertical="center"/>
    </xf>
    <xf numFmtId="0" fontId="16" fillId="14" borderId="20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0" fontId="16" fillId="8" borderId="7" xfId="0" quotePrefix="1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14" fontId="16" fillId="14" borderId="16" xfId="0" applyNumberFormat="1" applyFont="1" applyFill="1" applyBorder="1" applyAlignment="1">
      <alignment horizontal="center" vertical="center"/>
    </xf>
    <xf numFmtId="14" fontId="16" fillId="14" borderId="7" xfId="0" applyNumberFormat="1" applyFont="1" applyFill="1" applyBorder="1" applyAlignment="1">
      <alignment horizontal="center" vertical="center"/>
    </xf>
    <xf numFmtId="14" fontId="16" fillId="14" borderId="15" xfId="0" applyNumberFormat="1" applyFont="1" applyFill="1" applyBorder="1" applyAlignment="1">
      <alignment horizontal="center" vertical="center"/>
    </xf>
    <xf numFmtId="165" fontId="16" fillId="14" borderId="17" xfId="0" applyNumberFormat="1" applyFont="1" applyFill="1" applyBorder="1" applyAlignment="1">
      <alignment horizontal="center" vertical="center"/>
    </xf>
    <xf numFmtId="165" fontId="16" fillId="14" borderId="18" xfId="0" applyNumberFormat="1" applyFont="1" applyFill="1" applyBorder="1" applyAlignment="1">
      <alignment horizontal="center" vertical="center"/>
    </xf>
    <xf numFmtId="165" fontId="16" fillId="14" borderId="19" xfId="0" applyNumberFormat="1" applyFont="1" applyFill="1" applyBorder="1" applyAlignment="1">
      <alignment horizontal="center" vertical="center"/>
    </xf>
    <xf numFmtId="0" fontId="16" fillId="14" borderId="17" xfId="0" applyFont="1" applyFill="1" applyBorder="1" applyAlignment="1">
      <alignment horizontal="center" vertical="center"/>
    </xf>
    <xf numFmtId="0" fontId="16" fillId="14" borderId="18" xfId="0" applyFont="1" applyFill="1" applyBorder="1" applyAlignment="1">
      <alignment horizontal="center" vertical="center"/>
    </xf>
    <xf numFmtId="0" fontId="16" fillId="14" borderId="19" xfId="0" applyFont="1" applyFill="1" applyBorder="1" applyAlignment="1">
      <alignment horizontal="center" vertical="center"/>
    </xf>
    <xf numFmtId="0" fontId="17" fillId="14" borderId="16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7" fillId="14" borderId="15" xfId="0" applyFont="1" applyFill="1" applyBorder="1" applyAlignment="1">
      <alignment horizontal="center" vertical="center"/>
    </xf>
    <xf numFmtId="0" fontId="17" fillId="14" borderId="52" xfId="0" applyFont="1" applyFill="1" applyBorder="1" applyAlignment="1">
      <alignment horizontal="center" vertical="center"/>
    </xf>
    <xf numFmtId="0" fontId="29" fillId="15" borderId="53" xfId="0" applyFont="1" applyFill="1" applyBorder="1" applyAlignment="1">
      <alignment horizontal="center" vertical="center"/>
    </xf>
    <xf numFmtId="0" fontId="29" fillId="15" borderId="12" xfId="0" applyFont="1" applyFill="1" applyBorder="1" applyAlignment="1">
      <alignment horizontal="center" vertical="center"/>
    </xf>
    <xf numFmtId="0" fontId="29" fillId="15" borderId="13" xfId="0" applyFont="1" applyFill="1" applyBorder="1" applyAlignment="1">
      <alignment horizontal="center" vertical="center"/>
    </xf>
    <xf numFmtId="0" fontId="16" fillId="15" borderId="54" xfId="0" applyFont="1" applyFill="1" applyBorder="1" applyAlignment="1">
      <alignment horizontal="left" vertical="center"/>
    </xf>
    <xf numFmtId="14" fontId="16" fillId="15" borderId="54" xfId="0" applyNumberFormat="1" applyFont="1" applyFill="1" applyBorder="1" applyAlignment="1">
      <alignment horizontal="center" vertical="center"/>
    </xf>
    <xf numFmtId="0" fontId="16" fillId="15" borderId="11" xfId="0" applyFont="1" applyFill="1" applyBorder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0" fontId="16" fillId="15" borderId="13" xfId="0" applyFont="1" applyFill="1" applyBorder="1" applyAlignment="1">
      <alignment horizontal="center" vertical="center"/>
    </xf>
    <xf numFmtId="0" fontId="16" fillId="15" borderId="11" xfId="0" applyFont="1" applyFill="1" applyBorder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0" fontId="16" fillId="15" borderId="13" xfId="0" applyFont="1" applyFill="1" applyBorder="1" applyAlignment="1">
      <alignment horizontal="center" vertical="center"/>
    </xf>
    <xf numFmtId="0" fontId="16" fillId="15" borderId="55" xfId="0" applyFont="1" applyFill="1" applyBorder="1" applyAlignment="1">
      <alignment horizontal="center" vertical="center"/>
    </xf>
    <xf numFmtId="0" fontId="16" fillId="15" borderId="46" xfId="0" applyFont="1" applyFill="1" applyBorder="1" applyAlignment="1">
      <alignment horizontal="left" vertical="center"/>
    </xf>
    <xf numFmtId="0" fontId="16" fillId="15" borderId="32" xfId="0" applyFont="1" applyFill="1" applyBorder="1" applyAlignment="1">
      <alignment horizontal="left" vertical="center"/>
    </xf>
    <xf numFmtId="0" fontId="16" fillId="15" borderId="33" xfId="0" applyFont="1" applyFill="1" applyBorder="1" applyAlignment="1">
      <alignment horizontal="left" vertical="center"/>
    </xf>
    <xf numFmtId="0" fontId="16" fillId="15" borderId="31" xfId="0" applyFont="1" applyFill="1" applyBorder="1" applyAlignment="1">
      <alignment horizontal="left" vertical="center"/>
    </xf>
    <xf numFmtId="0" fontId="16" fillId="15" borderId="35" xfId="0" applyFont="1" applyFill="1" applyBorder="1" applyAlignment="1">
      <alignment horizontal="center" vertical="center"/>
    </xf>
    <xf numFmtId="0" fontId="16" fillId="15" borderId="36" xfId="0" applyFont="1" applyFill="1" applyBorder="1" applyAlignment="1">
      <alignment horizontal="center" vertical="center"/>
    </xf>
    <xf numFmtId="14" fontId="16" fillId="15" borderId="30" xfId="0" applyNumberFormat="1" applyFont="1" applyFill="1" applyBorder="1" applyAlignment="1">
      <alignment horizontal="center" vertical="center"/>
    </xf>
    <xf numFmtId="14" fontId="16" fillId="15" borderId="28" xfId="0" applyNumberFormat="1" applyFont="1" applyFill="1" applyBorder="1" applyAlignment="1">
      <alignment horizontal="center" vertical="center"/>
    </xf>
    <xf numFmtId="14" fontId="16" fillId="15" borderId="29" xfId="0" applyNumberFormat="1" applyFont="1" applyFill="1" applyBorder="1" applyAlignment="1">
      <alignment horizontal="center" vertical="center"/>
    </xf>
    <xf numFmtId="0" fontId="16" fillId="15" borderId="31" xfId="0" applyFont="1" applyFill="1" applyBorder="1" applyAlignment="1">
      <alignment horizontal="center" vertical="center"/>
    </xf>
    <xf numFmtId="0" fontId="16" fillId="15" borderId="31" xfId="0" applyFont="1" applyFill="1" applyBorder="1" applyAlignment="1">
      <alignment horizontal="center" vertical="center"/>
    </xf>
    <xf numFmtId="0" fontId="16" fillId="15" borderId="32" xfId="0" applyFont="1" applyFill="1" applyBorder="1" applyAlignment="1">
      <alignment horizontal="center" vertical="center"/>
    </xf>
    <xf numFmtId="0" fontId="16" fillId="15" borderId="33" xfId="0" applyFont="1" applyFill="1" applyBorder="1" applyAlignment="1">
      <alignment horizontal="center" vertical="center"/>
    </xf>
    <xf numFmtId="0" fontId="17" fillId="15" borderId="30" xfId="0" applyFont="1" applyFill="1" applyBorder="1" applyAlignment="1">
      <alignment horizontal="center" vertical="center"/>
    </xf>
    <xf numFmtId="0" fontId="17" fillId="15" borderId="28" xfId="0" applyFont="1" applyFill="1" applyBorder="1" applyAlignment="1">
      <alignment horizontal="center" vertical="center"/>
    </xf>
    <xf numFmtId="0" fontId="17" fillId="15" borderId="29" xfId="0" applyFont="1" applyFill="1" applyBorder="1" applyAlignment="1">
      <alignment horizontal="center" vertical="center"/>
    </xf>
    <xf numFmtId="0" fontId="17" fillId="15" borderId="34" xfId="0" applyFont="1" applyFill="1" applyBorder="1" applyAlignment="1">
      <alignment horizontal="center" vertical="center"/>
    </xf>
    <xf numFmtId="0" fontId="16" fillId="15" borderId="30" xfId="0" applyFont="1" applyFill="1" applyBorder="1" applyAlignment="1">
      <alignment horizontal="center" vertical="center"/>
    </xf>
    <xf numFmtId="0" fontId="16" fillId="15" borderId="29" xfId="0" applyFont="1" applyFill="1" applyBorder="1" applyAlignment="1">
      <alignment horizontal="center" vertical="center"/>
    </xf>
    <xf numFmtId="14" fontId="16" fillId="15" borderId="35" xfId="0" applyNumberFormat="1" applyFont="1" applyFill="1" applyBorder="1" applyAlignment="1">
      <alignment horizontal="center" vertical="center"/>
    </xf>
    <xf numFmtId="14" fontId="16" fillId="15" borderId="0" xfId="0" applyNumberFormat="1" applyFont="1" applyFill="1" applyAlignment="1">
      <alignment horizontal="center" vertical="center"/>
    </xf>
    <xf numFmtId="14" fontId="16" fillId="15" borderId="36" xfId="0" applyNumberFormat="1" applyFont="1" applyFill="1" applyBorder="1" applyAlignment="1">
      <alignment horizontal="center" vertical="center"/>
    </xf>
    <xf numFmtId="0" fontId="17" fillId="15" borderId="35" xfId="0" applyFont="1" applyFill="1" applyBorder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7" fillId="15" borderId="36" xfId="0" applyFont="1" applyFill="1" applyBorder="1" applyAlignment="1">
      <alignment horizontal="center" vertical="center"/>
    </xf>
    <xf numFmtId="0" fontId="17" fillId="15" borderId="37" xfId="0" applyFont="1" applyFill="1" applyBorder="1" applyAlignment="1">
      <alignment horizontal="center" vertical="center"/>
    </xf>
    <xf numFmtId="0" fontId="16" fillId="15" borderId="59" xfId="0" applyFont="1" applyFill="1" applyBorder="1" applyAlignment="1">
      <alignment horizontal="left" vertical="center"/>
    </xf>
    <xf numFmtId="0" fontId="16" fillId="15" borderId="18" xfId="0" applyFont="1" applyFill="1" applyBorder="1" applyAlignment="1">
      <alignment horizontal="left" vertical="center"/>
    </xf>
    <xf numFmtId="0" fontId="16" fillId="15" borderId="19" xfId="0" applyFont="1" applyFill="1" applyBorder="1" applyAlignment="1">
      <alignment horizontal="left" vertical="center"/>
    </xf>
    <xf numFmtId="0" fontId="16" fillId="15" borderId="17" xfId="0" applyFont="1" applyFill="1" applyBorder="1" applyAlignment="1">
      <alignment vertical="center"/>
    </xf>
    <xf numFmtId="0" fontId="16" fillId="15" borderId="18" xfId="0" applyFont="1" applyFill="1" applyBorder="1" applyAlignment="1">
      <alignment vertical="center"/>
    </xf>
    <xf numFmtId="0" fontId="16" fillId="15" borderId="17" xfId="0" applyFont="1" applyFill="1" applyBorder="1" applyAlignment="1">
      <alignment horizontal="center" vertical="center"/>
    </xf>
    <xf numFmtId="0" fontId="16" fillId="15" borderId="19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8" borderId="16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14" fontId="16" fillId="15" borderId="16" xfId="0" applyNumberFormat="1" applyFont="1" applyFill="1" applyBorder="1" applyAlignment="1">
      <alignment horizontal="center" vertical="center"/>
    </xf>
    <xf numFmtId="14" fontId="16" fillId="15" borderId="7" xfId="0" applyNumberFormat="1" applyFont="1" applyFill="1" applyBorder="1" applyAlignment="1">
      <alignment horizontal="center" vertical="center"/>
    </xf>
    <xf numFmtId="14" fontId="16" fillId="15" borderId="15" xfId="0" applyNumberFormat="1" applyFont="1" applyFill="1" applyBorder="1" applyAlignment="1">
      <alignment horizontal="center" vertical="center"/>
    </xf>
    <xf numFmtId="0" fontId="24" fillId="15" borderId="16" xfId="0" applyFont="1" applyFill="1" applyBorder="1" applyAlignment="1">
      <alignment horizontal="center" vertical="center"/>
    </xf>
    <xf numFmtId="0" fontId="24" fillId="15" borderId="7" xfId="0" applyFont="1" applyFill="1" applyBorder="1" applyAlignment="1">
      <alignment horizontal="center" vertical="center"/>
    </xf>
    <xf numFmtId="0" fontId="24" fillId="15" borderId="15" xfId="0" applyFont="1" applyFill="1" applyBorder="1" applyAlignment="1">
      <alignment horizontal="center" vertical="center"/>
    </xf>
    <xf numFmtId="0" fontId="16" fillId="15" borderId="18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17" fillId="15" borderId="15" xfId="0" applyFont="1" applyFill="1" applyBorder="1" applyAlignment="1">
      <alignment horizontal="center" vertical="center"/>
    </xf>
    <xf numFmtId="0" fontId="17" fillId="15" borderId="52" xfId="0" applyFont="1" applyFill="1" applyBorder="1" applyAlignment="1">
      <alignment horizontal="center" vertical="center"/>
    </xf>
    <xf numFmtId="0" fontId="15" fillId="5" borderId="53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6" fillId="5" borderId="54" xfId="0" applyFont="1" applyFill="1" applyBorder="1" applyAlignment="1">
      <alignment horizontal="left" vertical="center"/>
    </xf>
    <xf numFmtId="14" fontId="16" fillId="5" borderId="11" xfId="0" applyNumberFormat="1" applyFont="1" applyFill="1" applyBorder="1" applyAlignment="1">
      <alignment horizontal="center" vertical="center"/>
    </xf>
    <xf numFmtId="14" fontId="16" fillId="5" borderId="12" xfId="0" applyNumberFormat="1" applyFont="1" applyFill="1" applyBorder="1" applyAlignment="1">
      <alignment horizontal="center" vertical="center"/>
    </xf>
    <xf numFmtId="14" fontId="16" fillId="5" borderId="13" xfId="0" applyNumberFormat="1" applyFont="1" applyFill="1" applyBorder="1" applyAlignment="1">
      <alignment horizontal="center" vertical="center"/>
    </xf>
    <xf numFmtId="0" fontId="16" fillId="5" borderId="5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55" xfId="0" applyFont="1" applyFill="1" applyBorder="1" applyAlignment="1">
      <alignment horizontal="center" vertical="center"/>
    </xf>
    <xf numFmtId="0" fontId="16" fillId="5" borderId="46" xfId="0" applyFont="1" applyFill="1" applyBorder="1" applyAlignment="1">
      <alignment horizontal="left" vertical="center"/>
    </xf>
    <xf numFmtId="0" fontId="16" fillId="5" borderId="32" xfId="0" applyFont="1" applyFill="1" applyBorder="1" applyAlignment="1">
      <alignment horizontal="left" vertical="center"/>
    </xf>
    <xf numFmtId="0" fontId="16" fillId="5" borderId="33" xfId="0" applyFont="1" applyFill="1" applyBorder="1" applyAlignment="1">
      <alignment horizontal="left" vertical="center"/>
    </xf>
    <xf numFmtId="0" fontId="16" fillId="5" borderId="31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0" fontId="16" fillId="5" borderId="33" xfId="0" applyFont="1" applyFill="1" applyBorder="1" applyAlignment="1">
      <alignment horizontal="center" vertical="center"/>
    </xf>
    <xf numFmtId="14" fontId="16" fillId="5" borderId="30" xfId="0" applyNumberFormat="1" applyFont="1" applyFill="1" applyBorder="1" applyAlignment="1">
      <alignment horizontal="center" vertical="center"/>
    </xf>
    <xf numFmtId="14" fontId="16" fillId="5" borderId="28" xfId="0" applyNumberFormat="1" applyFont="1" applyFill="1" applyBorder="1" applyAlignment="1">
      <alignment horizontal="center" vertical="center"/>
    </xf>
    <xf numFmtId="14" fontId="16" fillId="5" borderId="29" xfId="0" applyNumberFormat="1" applyFont="1" applyFill="1" applyBorder="1" applyAlignment="1">
      <alignment horizontal="center" vertical="center"/>
    </xf>
    <xf numFmtId="2" fontId="16" fillId="5" borderId="57" xfId="0" applyNumberFormat="1" applyFont="1" applyFill="1" applyBorder="1" applyAlignment="1">
      <alignment horizontal="center" vertical="center"/>
    </xf>
    <xf numFmtId="0" fontId="30" fillId="5" borderId="30" xfId="0" applyFont="1" applyFill="1" applyBorder="1" applyAlignment="1">
      <alignment horizontal="center" vertical="center"/>
    </xf>
    <xf numFmtId="0" fontId="30" fillId="5" borderId="28" xfId="0" applyFont="1" applyFill="1" applyBorder="1" applyAlignment="1">
      <alignment horizontal="center" vertical="center"/>
    </xf>
    <xf numFmtId="0" fontId="30" fillId="5" borderId="29" xfId="0" applyFont="1" applyFill="1" applyBorder="1" applyAlignment="1">
      <alignment horizontal="center" vertical="center"/>
    </xf>
    <xf numFmtId="0" fontId="17" fillId="5" borderId="34" xfId="0" applyFont="1" applyFill="1" applyBorder="1" applyAlignment="1">
      <alignment horizontal="center" vertical="center"/>
    </xf>
    <xf numFmtId="14" fontId="16" fillId="5" borderId="35" xfId="0" applyNumberFormat="1" applyFont="1" applyFill="1" applyBorder="1" applyAlignment="1">
      <alignment horizontal="center" vertical="center"/>
    </xf>
    <xf numFmtId="14" fontId="16" fillId="5" borderId="0" xfId="0" applyNumberFormat="1" applyFont="1" applyFill="1" applyAlignment="1">
      <alignment horizontal="center" vertical="center"/>
    </xf>
    <xf numFmtId="14" fontId="16" fillId="5" borderId="36" xfId="0" applyNumberFormat="1" applyFont="1" applyFill="1" applyBorder="1" applyAlignment="1">
      <alignment horizontal="center" vertical="center"/>
    </xf>
    <xf numFmtId="0" fontId="30" fillId="5" borderId="35" xfId="0" applyFont="1" applyFill="1" applyBorder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30" fillId="5" borderId="36" xfId="0" applyFont="1" applyFill="1" applyBorder="1" applyAlignment="1">
      <alignment horizontal="center" vertical="center"/>
    </xf>
    <xf numFmtId="0" fontId="17" fillId="5" borderId="37" xfId="0" applyFont="1" applyFill="1" applyBorder="1" applyAlignment="1">
      <alignment horizontal="center" vertical="center"/>
    </xf>
    <xf numFmtId="0" fontId="16" fillId="5" borderId="59" xfId="0" applyFont="1" applyFill="1" applyBorder="1" applyAlignment="1">
      <alignment horizontal="left" vertical="center"/>
    </xf>
    <xf numFmtId="0" fontId="16" fillId="5" borderId="18" xfId="0" applyFont="1" applyFill="1" applyBorder="1" applyAlignment="1">
      <alignment horizontal="left" vertical="center"/>
    </xf>
    <xf numFmtId="0" fontId="16" fillId="5" borderId="19" xfId="0" applyFont="1" applyFill="1" applyBorder="1" applyAlignment="1">
      <alignment horizontal="left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8" borderId="19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14" fontId="16" fillId="5" borderId="16" xfId="0" applyNumberFormat="1" applyFont="1" applyFill="1" applyBorder="1" applyAlignment="1">
      <alignment horizontal="center" vertical="center"/>
    </xf>
    <xf numFmtId="14" fontId="16" fillId="5" borderId="7" xfId="0" applyNumberFormat="1" applyFont="1" applyFill="1" applyBorder="1" applyAlignment="1">
      <alignment horizontal="center" vertical="center"/>
    </xf>
    <xf numFmtId="14" fontId="16" fillId="5" borderId="15" xfId="0" applyNumberFormat="1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30" fillId="5" borderId="16" xfId="0" applyFont="1" applyFill="1" applyBorder="1" applyAlignment="1">
      <alignment horizontal="center" vertical="center"/>
    </xf>
    <xf numFmtId="0" fontId="30" fillId="5" borderId="7" xfId="0" applyFont="1" applyFill="1" applyBorder="1" applyAlignment="1">
      <alignment horizontal="center" vertical="center"/>
    </xf>
    <xf numFmtId="0" fontId="30" fillId="5" borderId="15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/>
    </xf>
    <xf numFmtId="0" fontId="15" fillId="16" borderId="53" xfId="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0" fontId="15" fillId="16" borderId="13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0" fontId="16" fillId="16" borderId="13" xfId="0" applyFont="1" applyFill="1" applyBorder="1" applyAlignment="1">
      <alignment horizontal="center" vertical="center"/>
    </xf>
    <xf numFmtId="14" fontId="16" fillId="16" borderId="11" xfId="0" applyNumberFormat="1" applyFont="1" applyFill="1" applyBorder="1" applyAlignment="1">
      <alignment horizontal="center" vertical="center"/>
    </xf>
    <xf numFmtId="14" fontId="16" fillId="16" borderId="12" xfId="0" applyNumberFormat="1" applyFont="1" applyFill="1" applyBorder="1" applyAlignment="1">
      <alignment horizontal="center" vertical="center"/>
    </xf>
    <xf numFmtId="14" fontId="16" fillId="16" borderId="13" xfId="0" applyNumberFormat="1" applyFont="1" applyFill="1" applyBorder="1" applyAlignment="1">
      <alignment horizontal="center" vertical="center"/>
    </xf>
    <xf numFmtId="0" fontId="16" fillId="16" borderId="54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0" fontId="16" fillId="16" borderId="13" xfId="0" applyFont="1" applyFill="1" applyBorder="1" applyAlignment="1">
      <alignment horizontal="center" vertical="center"/>
    </xf>
    <xf numFmtId="0" fontId="16" fillId="16" borderId="55" xfId="0" applyFont="1" applyFill="1" applyBorder="1" applyAlignment="1">
      <alignment horizontal="center" vertical="center"/>
    </xf>
    <xf numFmtId="0" fontId="16" fillId="16" borderId="46" xfId="0" applyFont="1" applyFill="1" applyBorder="1" applyAlignment="1">
      <alignment horizontal="left" vertical="center"/>
    </xf>
    <xf numFmtId="0" fontId="16" fillId="16" borderId="32" xfId="0" applyFont="1" applyFill="1" applyBorder="1" applyAlignment="1">
      <alignment horizontal="left" vertical="center"/>
    </xf>
    <xf numFmtId="0" fontId="16" fillId="16" borderId="33" xfId="0" applyFont="1" applyFill="1" applyBorder="1" applyAlignment="1">
      <alignment horizontal="left" vertical="center"/>
    </xf>
    <xf numFmtId="1" fontId="16" fillId="16" borderId="31" xfId="0" applyNumberFormat="1" applyFont="1" applyFill="1" applyBorder="1" applyAlignment="1">
      <alignment vertical="center"/>
    </xf>
    <xf numFmtId="1" fontId="16" fillId="16" borderId="32" xfId="0" applyNumberFormat="1" applyFont="1" applyFill="1" applyBorder="1" applyAlignment="1">
      <alignment vertical="center"/>
    </xf>
    <xf numFmtId="0" fontId="16" fillId="16" borderId="32" xfId="0" applyFont="1" applyFill="1" applyBorder="1" applyAlignment="1">
      <alignment vertical="center"/>
    </xf>
    <xf numFmtId="0" fontId="16" fillId="16" borderId="33" xfId="0" applyFont="1" applyFill="1" applyBorder="1" applyAlignment="1">
      <alignment vertical="center"/>
    </xf>
    <xf numFmtId="1" fontId="16" fillId="16" borderId="31" xfId="0" applyNumberFormat="1" applyFont="1" applyFill="1" applyBorder="1" applyAlignment="1">
      <alignment horizontal="left" vertical="center"/>
    </xf>
    <xf numFmtId="14" fontId="16" fillId="16" borderId="30" xfId="0" applyNumberFormat="1" applyFont="1" applyFill="1" applyBorder="1" applyAlignment="1">
      <alignment horizontal="center" vertical="center"/>
    </xf>
    <xf numFmtId="14" fontId="16" fillId="16" borderId="28" xfId="0" applyNumberFormat="1" applyFont="1" applyFill="1" applyBorder="1" applyAlignment="1">
      <alignment horizontal="center" vertical="center"/>
    </xf>
    <xf numFmtId="14" fontId="16" fillId="16" borderId="29" xfId="0" applyNumberFormat="1" applyFont="1" applyFill="1" applyBorder="1" applyAlignment="1">
      <alignment horizontal="center" vertical="center"/>
    </xf>
    <xf numFmtId="2" fontId="16" fillId="16" borderId="57" xfId="0" applyNumberFormat="1" applyFont="1" applyFill="1" applyBorder="1" applyAlignment="1">
      <alignment horizontal="center" vertical="center"/>
    </xf>
    <xf numFmtId="0" fontId="16" fillId="16" borderId="31" xfId="0" applyFont="1" applyFill="1" applyBorder="1" applyAlignment="1">
      <alignment horizontal="center" vertical="center"/>
    </xf>
    <xf numFmtId="0" fontId="16" fillId="16" borderId="32" xfId="0" applyFont="1" applyFill="1" applyBorder="1" applyAlignment="1">
      <alignment horizontal="center" vertical="center"/>
    </xf>
    <xf numFmtId="0" fontId="16" fillId="16" borderId="33" xfId="0" applyFont="1" applyFill="1" applyBorder="1" applyAlignment="1">
      <alignment horizontal="center" vertical="center"/>
    </xf>
    <xf numFmtId="0" fontId="17" fillId="16" borderId="30" xfId="0" applyFont="1" applyFill="1" applyBorder="1" applyAlignment="1">
      <alignment horizontal="center" vertical="center"/>
    </xf>
    <xf numFmtId="0" fontId="17" fillId="16" borderId="28" xfId="0" applyFont="1" applyFill="1" applyBorder="1" applyAlignment="1">
      <alignment horizontal="center" vertical="center"/>
    </xf>
    <xf numFmtId="0" fontId="17" fillId="16" borderId="29" xfId="0" applyFont="1" applyFill="1" applyBorder="1" applyAlignment="1">
      <alignment horizontal="center" vertical="center"/>
    </xf>
    <xf numFmtId="0" fontId="17" fillId="16" borderId="34" xfId="0" applyFont="1" applyFill="1" applyBorder="1" applyAlignment="1">
      <alignment horizontal="center" vertical="center"/>
    </xf>
    <xf numFmtId="14" fontId="16" fillId="16" borderId="25" xfId="0" applyNumberFormat="1" applyFont="1" applyFill="1" applyBorder="1" applyAlignment="1">
      <alignment horizontal="center" vertical="center"/>
    </xf>
    <xf numFmtId="14" fontId="16" fillId="16" borderId="23" xfId="0" applyNumberFormat="1" applyFont="1" applyFill="1" applyBorder="1" applyAlignment="1">
      <alignment horizontal="center" vertical="center"/>
    </xf>
    <xf numFmtId="14" fontId="16" fillId="16" borderId="24" xfId="0" applyNumberFormat="1" applyFont="1" applyFill="1" applyBorder="1" applyAlignment="1">
      <alignment horizontal="center" vertical="center"/>
    </xf>
    <xf numFmtId="0" fontId="17" fillId="16" borderId="35" xfId="0" applyFont="1" applyFill="1" applyBorder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7" fillId="16" borderId="36" xfId="0" applyFont="1" applyFill="1" applyBorder="1" applyAlignment="1">
      <alignment horizontal="center" vertical="center"/>
    </xf>
    <xf numFmtId="0" fontId="17" fillId="16" borderId="37" xfId="0" applyFont="1" applyFill="1" applyBorder="1" applyAlignment="1">
      <alignment horizontal="center" vertical="center"/>
    </xf>
    <xf numFmtId="14" fontId="16" fillId="16" borderId="31" xfId="0" applyNumberFormat="1" applyFont="1" applyFill="1" applyBorder="1" applyAlignment="1">
      <alignment horizontal="center" vertical="center"/>
    </xf>
    <xf numFmtId="14" fontId="16" fillId="16" borderId="32" xfId="0" applyNumberFormat="1" applyFont="1" applyFill="1" applyBorder="1" applyAlignment="1">
      <alignment horizontal="center" vertical="center"/>
    </xf>
    <xf numFmtId="14" fontId="16" fillId="16" borderId="33" xfId="0" applyNumberFormat="1" applyFont="1" applyFill="1" applyBorder="1" applyAlignment="1">
      <alignment horizontal="center" vertical="center"/>
    </xf>
    <xf numFmtId="0" fontId="16" fillId="16" borderId="59" xfId="0" applyFont="1" applyFill="1" applyBorder="1" applyAlignment="1">
      <alignment horizontal="left" vertical="center"/>
    </xf>
    <xf numFmtId="0" fontId="16" fillId="16" borderId="18" xfId="0" applyFont="1" applyFill="1" applyBorder="1" applyAlignment="1">
      <alignment horizontal="left" vertical="center"/>
    </xf>
    <xf numFmtId="0" fontId="16" fillId="16" borderId="19" xfId="0" applyFont="1" applyFill="1" applyBorder="1" applyAlignment="1">
      <alignment horizontal="left" vertical="center"/>
    </xf>
    <xf numFmtId="0" fontId="16" fillId="16" borderId="17" xfId="0" applyFont="1" applyFill="1" applyBorder="1" applyAlignment="1">
      <alignment horizontal="center" vertical="center"/>
    </xf>
    <xf numFmtId="0" fontId="16" fillId="16" borderId="18" xfId="0" applyFont="1" applyFill="1" applyBorder="1" applyAlignment="1">
      <alignment horizontal="center" vertical="center"/>
    </xf>
    <xf numFmtId="0" fontId="16" fillId="16" borderId="19" xfId="0" applyFont="1" applyFill="1" applyBorder="1" applyAlignment="1">
      <alignment horizontal="center" vertical="center"/>
    </xf>
    <xf numFmtId="14" fontId="16" fillId="16" borderId="17" xfId="0" applyNumberFormat="1" applyFont="1" applyFill="1" applyBorder="1" applyAlignment="1">
      <alignment horizontal="center" vertical="center"/>
    </xf>
    <xf numFmtId="14" fontId="16" fillId="16" borderId="18" xfId="0" applyNumberFormat="1" applyFont="1" applyFill="1" applyBorder="1" applyAlignment="1">
      <alignment horizontal="center" vertical="center"/>
    </xf>
    <xf numFmtId="14" fontId="16" fillId="16" borderId="19" xfId="0" applyNumberFormat="1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center" vertical="center"/>
    </xf>
    <xf numFmtId="0" fontId="17" fillId="16" borderId="7" xfId="0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center" vertical="center"/>
    </xf>
    <xf numFmtId="0" fontId="17" fillId="16" borderId="52" xfId="0" applyFont="1" applyFill="1" applyBorder="1" applyAlignment="1">
      <alignment horizontal="center" vertical="center"/>
    </xf>
    <xf numFmtId="0" fontId="15" fillId="12" borderId="53" xfId="0" applyFont="1" applyFill="1" applyBorder="1" applyAlignment="1">
      <alignment horizontal="left" vertical="center"/>
    </xf>
    <xf numFmtId="0" fontId="15" fillId="12" borderId="12" xfId="0" applyFont="1" applyFill="1" applyBorder="1" applyAlignment="1">
      <alignment horizontal="left" vertical="center"/>
    </xf>
    <xf numFmtId="0" fontId="15" fillId="12" borderId="13" xfId="0" applyFont="1" applyFill="1" applyBorder="1" applyAlignment="1">
      <alignment horizontal="left" vertical="center"/>
    </xf>
    <xf numFmtId="0" fontId="16" fillId="12" borderId="54" xfId="0" applyFont="1" applyFill="1" applyBorder="1" applyAlignment="1">
      <alignment horizontal="left" vertical="center"/>
    </xf>
    <xf numFmtId="14" fontId="16" fillId="12" borderId="11" xfId="0" applyNumberFormat="1" applyFont="1" applyFill="1" applyBorder="1" applyAlignment="1">
      <alignment horizontal="center" vertical="center"/>
    </xf>
    <xf numFmtId="14" fontId="16" fillId="12" borderId="12" xfId="0" applyNumberFormat="1" applyFont="1" applyFill="1" applyBorder="1" applyAlignment="1">
      <alignment horizontal="center" vertical="center"/>
    </xf>
    <xf numFmtId="14" fontId="16" fillId="12" borderId="13" xfId="0" applyNumberFormat="1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0" fontId="16" fillId="12" borderId="13" xfId="0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0" fontId="16" fillId="12" borderId="13" xfId="0" applyFont="1" applyFill="1" applyBorder="1" applyAlignment="1">
      <alignment horizontal="center" vertical="center"/>
    </xf>
    <xf numFmtId="0" fontId="16" fillId="12" borderId="55" xfId="0" applyFont="1" applyFill="1" applyBorder="1" applyAlignment="1">
      <alignment horizontal="center" vertical="center"/>
    </xf>
    <xf numFmtId="0" fontId="16" fillId="12" borderId="46" xfId="0" applyFont="1" applyFill="1" applyBorder="1" applyAlignment="1">
      <alignment horizontal="left" vertical="center"/>
    </xf>
    <xf numFmtId="0" fontId="16" fillId="12" borderId="32" xfId="0" applyFont="1" applyFill="1" applyBorder="1" applyAlignment="1">
      <alignment horizontal="left" vertical="center"/>
    </xf>
    <xf numFmtId="0" fontId="16" fillId="12" borderId="33" xfId="0" applyFont="1" applyFill="1" applyBorder="1" applyAlignment="1">
      <alignment horizontal="left" vertical="center"/>
    </xf>
    <xf numFmtId="0" fontId="16" fillId="12" borderId="31" xfId="0" applyFont="1" applyFill="1" applyBorder="1" applyAlignment="1">
      <alignment horizontal="center" vertical="center"/>
    </xf>
    <xf numFmtId="0" fontId="16" fillId="12" borderId="32" xfId="0" applyFont="1" applyFill="1" applyBorder="1" applyAlignment="1">
      <alignment horizontal="center" vertical="center"/>
    </xf>
    <xf numFmtId="0" fontId="16" fillId="12" borderId="33" xfId="0" applyFont="1" applyFill="1" applyBorder="1" applyAlignment="1">
      <alignment horizontal="center" vertical="center"/>
    </xf>
    <xf numFmtId="14" fontId="16" fillId="12" borderId="25" xfId="0" applyNumberFormat="1" applyFont="1" applyFill="1" applyBorder="1" applyAlignment="1">
      <alignment horizontal="center" vertical="center"/>
    </xf>
    <xf numFmtId="14" fontId="16" fillId="12" borderId="23" xfId="0" applyNumberFormat="1" applyFont="1" applyFill="1" applyBorder="1" applyAlignment="1">
      <alignment horizontal="center" vertical="center"/>
    </xf>
    <xf numFmtId="14" fontId="16" fillId="12" borderId="24" xfId="0" applyNumberFormat="1" applyFont="1" applyFill="1" applyBorder="1" applyAlignment="1">
      <alignment horizontal="center" vertical="center"/>
    </xf>
    <xf numFmtId="0" fontId="16" fillId="12" borderId="23" xfId="0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center" vertical="center"/>
    </xf>
    <xf numFmtId="0" fontId="16" fillId="12" borderId="58" xfId="0" applyFont="1" applyFill="1" applyBorder="1" applyAlignment="1">
      <alignment horizontal="center" vertical="center"/>
    </xf>
    <xf numFmtId="0" fontId="16" fillId="12" borderId="59" xfId="0" applyFont="1" applyFill="1" applyBorder="1" applyAlignment="1">
      <alignment horizontal="left" vertical="center"/>
    </xf>
    <xf numFmtId="0" fontId="16" fillId="12" borderId="18" xfId="0" applyFont="1" applyFill="1" applyBorder="1" applyAlignment="1">
      <alignment horizontal="left" vertical="center"/>
    </xf>
    <xf numFmtId="0" fontId="16" fillId="12" borderId="19" xfId="0" applyFont="1" applyFill="1" applyBorder="1" applyAlignment="1">
      <alignment horizontal="left" vertical="center"/>
    </xf>
    <xf numFmtId="0" fontId="16" fillId="12" borderId="17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6" fillId="12" borderId="19" xfId="0" applyFont="1" applyFill="1" applyBorder="1" applyAlignment="1">
      <alignment horizontal="center" vertical="center"/>
    </xf>
    <xf numFmtId="0" fontId="16" fillId="8" borderId="17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0" fontId="16" fillId="8" borderId="19" xfId="0" applyFont="1" applyFill="1" applyBorder="1" applyAlignment="1">
      <alignment horizontal="center" vertical="center"/>
    </xf>
    <xf numFmtId="14" fontId="16" fillId="12" borderId="16" xfId="0" applyNumberFormat="1" applyFont="1" applyFill="1" applyBorder="1" applyAlignment="1">
      <alignment horizontal="center" vertical="center"/>
    </xf>
    <xf numFmtId="14" fontId="16" fillId="12" borderId="7" xfId="0" applyNumberFormat="1" applyFont="1" applyFill="1" applyBorder="1" applyAlignment="1">
      <alignment horizontal="center" vertical="center"/>
    </xf>
    <xf numFmtId="14" fontId="16" fillId="12" borderId="15" xfId="0" applyNumberFormat="1" applyFont="1" applyFill="1" applyBorder="1" applyAlignment="1">
      <alignment horizontal="center" vertical="center"/>
    </xf>
    <xf numFmtId="0" fontId="16" fillId="12" borderId="16" xfId="0" applyFont="1" applyFill="1" applyBorder="1" applyAlignment="1">
      <alignment horizontal="center" vertical="center"/>
    </xf>
    <xf numFmtId="0" fontId="16" fillId="12" borderId="7" xfId="0" applyFont="1" applyFill="1" applyBorder="1" applyAlignment="1">
      <alignment horizontal="center" vertical="center"/>
    </xf>
    <xf numFmtId="0" fontId="16" fillId="12" borderId="15" xfId="0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31" fillId="17" borderId="53" xfId="0" applyFont="1" applyFill="1" applyBorder="1" applyAlignment="1">
      <alignment vertical="center"/>
    </xf>
    <xf numFmtId="0" fontId="31" fillId="17" borderId="12" xfId="0" applyFont="1" applyFill="1" applyBorder="1" applyAlignment="1">
      <alignment vertical="center"/>
    </xf>
    <xf numFmtId="0" fontId="16" fillId="17" borderId="12" xfId="0" applyFont="1" applyFill="1" applyBorder="1" applyAlignment="1">
      <alignment vertical="center"/>
    </xf>
    <xf numFmtId="0" fontId="16" fillId="17" borderId="11" xfId="0" applyFont="1" applyFill="1" applyBorder="1" applyAlignment="1">
      <alignment vertical="center"/>
    </xf>
    <xf numFmtId="0" fontId="16" fillId="17" borderId="13" xfId="0" applyFont="1" applyFill="1" applyBorder="1" applyAlignment="1">
      <alignment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14" fontId="26" fillId="17" borderId="54" xfId="1" applyNumberFormat="1" applyFont="1" applyFill="1" applyBorder="1" applyAlignment="1">
      <alignment horizontal="center" vertical="center"/>
    </xf>
    <xf numFmtId="0" fontId="24" fillId="17" borderId="11" xfId="0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center" vertical="center"/>
    </xf>
    <xf numFmtId="0" fontId="24" fillId="17" borderId="13" xfId="0" applyFont="1" applyFill="1" applyBorder="1" applyAlignment="1">
      <alignment horizontal="center" vertical="center"/>
    </xf>
    <xf numFmtId="0" fontId="16" fillId="17" borderId="11" xfId="0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center" vertical="center"/>
    </xf>
    <xf numFmtId="0" fontId="16" fillId="17" borderId="13" xfId="0" applyFont="1" applyFill="1" applyBorder="1" applyAlignment="1">
      <alignment horizontal="center" vertical="center"/>
    </xf>
    <xf numFmtId="0" fontId="30" fillId="17" borderId="10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0" fillId="17" borderId="9" xfId="0" applyFont="1" applyFill="1" applyBorder="1" applyAlignment="1">
      <alignment horizontal="center" vertical="center"/>
    </xf>
    <xf numFmtId="1" fontId="30" fillId="17" borderId="14" xfId="0" applyNumberFormat="1" applyFont="1" applyFill="1" applyBorder="1" applyAlignment="1">
      <alignment horizontal="center" vertical="center"/>
    </xf>
    <xf numFmtId="0" fontId="31" fillId="17" borderId="46" xfId="0" applyFont="1" applyFill="1" applyBorder="1" applyAlignment="1">
      <alignment horizontal="left" vertical="center"/>
    </xf>
    <xf numFmtId="0" fontId="31" fillId="17" borderId="32" xfId="0" applyFont="1" applyFill="1" applyBorder="1" applyAlignment="1">
      <alignment horizontal="left" vertical="center"/>
    </xf>
    <xf numFmtId="0" fontId="31" fillId="17" borderId="33" xfId="0" applyFont="1" applyFill="1" applyBorder="1" applyAlignment="1">
      <alignment horizontal="left" vertical="center"/>
    </xf>
    <xf numFmtId="0" fontId="16" fillId="17" borderId="31" xfId="0" applyFont="1" applyFill="1" applyBorder="1" applyAlignment="1">
      <alignment vertical="center"/>
    </xf>
    <xf numFmtId="0" fontId="16" fillId="17" borderId="32" xfId="0" applyFont="1" applyFill="1" applyBorder="1" applyAlignment="1">
      <alignment vertical="center"/>
    </xf>
    <xf numFmtId="0" fontId="16" fillId="17" borderId="33" xfId="0" applyFont="1" applyFill="1" applyBorder="1" applyAlignment="1">
      <alignment vertical="center"/>
    </xf>
    <xf numFmtId="14" fontId="26" fillId="17" borderId="57" xfId="1" applyNumberFormat="1" applyFont="1" applyFill="1" applyBorder="1" applyAlignment="1">
      <alignment horizontal="center" vertical="center"/>
    </xf>
    <xf numFmtId="0" fontId="24" fillId="17" borderId="25" xfId="0" applyFont="1" applyFill="1" applyBorder="1" applyAlignment="1">
      <alignment horizontal="center" vertical="center"/>
    </xf>
    <xf numFmtId="0" fontId="24" fillId="17" borderId="23" xfId="0" applyFont="1" applyFill="1" applyBorder="1" applyAlignment="1">
      <alignment horizontal="center" vertical="center"/>
    </xf>
    <xf numFmtId="0" fontId="24" fillId="17" borderId="24" xfId="0" applyFont="1" applyFill="1" applyBorder="1" applyAlignment="1">
      <alignment horizontal="center" vertical="center"/>
    </xf>
    <xf numFmtId="0" fontId="16" fillId="17" borderId="31" xfId="0" applyFont="1" applyFill="1" applyBorder="1" applyAlignment="1">
      <alignment horizontal="center" vertical="center"/>
    </xf>
    <xf numFmtId="0" fontId="16" fillId="17" borderId="32" xfId="0" applyFont="1" applyFill="1" applyBorder="1" applyAlignment="1">
      <alignment horizontal="center" vertical="center"/>
    </xf>
    <xf numFmtId="0" fontId="16" fillId="17" borderId="33" xfId="0" applyFont="1" applyFill="1" applyBorder="1" applyAlignment="1">
      <alignment horizontal="center" vertical="center"/>
    </xf>
    <xf numFmtId="0" fontId="30" fillId="17" borderId="35" xfId="0" applyFont="1" applyFill="1" applyBorder="1" applyAlignment="1">
      <alignment horizontal="center" vertical="center"/>
    </xf>
    <xf numFmtId="0" fontId="30" fillId="17" borderId="0" xfId="0" applyFont="1" applyFill="1" applyAlignment="1">
      <alignment horizontal="center" vertical="center"/>
    </xf>
    <xf numFmtId="0" fontId="30" fillId="17" borderId="36" xfId="0" applyFont="1" applyFill="1" applyBorder="1" applyAlignment="1">
      <alignment horizontal="center" vertical="center"/>
    </xf>
    <xf numFmtId="1" fontId="30" fillId="17" borderId="37" xfId="0" applyNumberFormat="1" applyFont="1" applyFill="1" applyBorder="1" applyAlignment="1">
      <alignment horizontal="center" vertical="center"/>
    </xf>
    <xf numFmtId="0" fontId="31" fillId="17" borderId="59" xfId="0" applyFont="1" applyFill="1" applyBorder="1" applyAlignment="1">
      <alignment horizontal="left" vertical="center"/>
    </xf>
    <xf numFmtId="0" fontId="31" fillId="17" borderId="18" xfId="0" applyFont="1" applyFill="1" applyBorder="1" applyAlignment="1">
      <alignment horizontal="left" vertical="center"/>
    </xf>
    <xf numFmtId="0" fontId="31" fillId="17" borderId="19" xfId="0" applyFont="1" applyFill="1" applyBorder="1" applyAlignment="1">
      <alignment horizontal="left" vertical="center"/>
    </xf>
    <xf numFmtId="0" fontId="26" fillId="17" borderId="17" xfId="0" applyFont="1" applyFill="1" applyBorder="1" applyAlignment="1">
      <alignment horizontal="center" vertical="center"/>
    </xf>
    <xf numFmtId="0" fontId="26" fillId="17" borderId="18" xfId="0" applyFont="1" applyFill="1" applyBorder="1" applyAlignment="1">
      <alignment vertical="center"/>
    </xf>
    <xf numFmtId="0" fontId="26" fillId="17" borderId="19" xfId="0" applyFont="1" applyFill="1" applyBorder="1" applyAlignment="1">
      <alignment vertical="center"/>
    </xf>
    <xf numFmtId="14" fontId="26" fillId="17" borderId="20" xfId="1" applyNumberFormat="1" applyFont="1" applyFill="1" applyBorder="1" applyAlignment="1">
      <alignment horizontal="center" vertical="center"/>
    </xf>
    <xf numFmtId="0" fontId="24" fillId="17" borderId="16" xfId="0" applyFont="1" applyFill="1" applyBorder="1" applyAlignment="1">
      <alignment horizontal="center" vertical="center"/>
    </xf>
    <xf numFmtId="0" fontId="24" fillId="17" borderId="7" xfId="0" applyFont="1" applyFill="1" applyBorder="1" applyAlignment="1">
      <alignment horizontal="center" vertical="center"/>
    </xf>
    <xf numFmtId="0" fontId="24" fillId="17" borderId="15" xfId="0" applyFont="1" applyFill="1" applyBorder="1" applyAlignment="1">
      <alignment horizontal="center" vertical="center"/>
    </xf>
    <xf numFmtId="0" fontId="16" fillId="17" borderId="17" xfId="0" applyFont="1" applyFill="1" applyBorder="1" applyAlignment="1">
      <alignment horizontal="center" vertical="center"/>
    </xf>
    <xf numFmtId="0" fontId="16" fillId="17" borderId="18" xfId="0" applyFont="1" applyFill="1" applyBorder="1" applyAlignment="1">
      <alignment horizontal="center" vertical="center"/>
    </xf>
    <xf numFmtId="0" fontId="16" fillId="17" borderId="19" xfId="0" applyFont="1" applyFill="1" applyBorder="1" applyAlignment="1">
      <alignment horizontal="center" vertical="center"/>
    </xf>
    <xf numFmtId="0" fontId="30" fillId="17" borderId="16" xfId="0" applyFont="1" applyFill="1" applyBorder="1" applyAlignment="1">
      <alignment horizontal="center" vertical="center"/>
    </xf>
    <xf numFmtId="0" fontId="30" fillId="17" borderId="7" xfId="0" applyFont="1" applyFill="1" applyBorder="1" applyAlignment="1">
      <alignment horizontal="center" vertical="center"/>
    </xf>
    <xf numFmtId="0" fontId="30" fillId="17" borderId="15" xfId="0" applyFont="1" applyFill="1" applyBorder="1" applyAlignment="1">
      <alignment horizontal="center" vertical="center"/>
    </xf>
    <xf numFmtId="1" fontId="30" fillId="17" borderId="52" xfId="0" applyNumberFormat="1" applyFont="1" applyFill="1" applyBorder="1" applyAlignment="1">
      <alignment horizontal="center" vertical="center"/>
    </xf>
    <xf numFmtId="0" fontId="30" fillId="4" borderId="60" xfId="0" applyFont="1" applyFill="1" applyBorder="1" applyAlignment="1">
      <alignment horizontal="center" vertical="center"/>
    </xf>
    <xf numFmtId="0" fontId="30" fillId="4" borderId="61" xfId="0" applyFont="1" applyFill="1" applyBorder="1" applyAlignment="1">
      <alignment horizontal="center" vertical="center"/>
    </xf>
    <xf numFmtId="0" fontId="30" fillId="4" borderId="62" xfId="0" applyFont="1" applyFill="1" applyBorder="1" applyAlignment="1">
      <alignment horizontal="center" vertical="center"/>
    </xf>
    <xf numFmtId="167" fontId="23" fillId="4" borderId="63" xfId="0" applyNumberFormat="1" applyFont="1" applyFill="1" applyBorder="1" applyAlignment="1">
      <alignment horizontal="center" vertical="center"/>
    </xf>
    <xf numFmtId="167" fontId="23" fillId="4" borderId="61" xfId="0" applyNumberFormat="1" applyFont="1" applyFill="1" applyBorder="1" applyAlignment="1">
      <alignment horizontal="center" vertical="center"/>
    </xf>
    <xf numFmtId="2" fontId="30" fillId="13" borderId="64" xfId="0" applyNumberFormat="1" applyFont="1" applyFill="1" applyBorder="1" applyAlignment="1">
      <alignment horizontal="center" vertical="center"/>
    </xf>
    <xf numFmtId="0" fontId="10" fillId="4" borderId="65" xfId="0" applyFont="1" applyFill="1" applyBorder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66" xfId="0" applyFont="1" applyFill="1" applyBorder="1" applyAlignment="1">
      <alignment horizontal="center" vertical="center"/>
    </xf>
    <xf numFmtId="0" fontId="16" fillId="5" borderId="67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18" borderId="17" xfId="0" applyFont="1" applyFill="1" applyBorder="1" applyAlignment="1">
      <alignment vertical="center"/>
    </xf>
    <xf numFmtId="0" fontId="16" fillId="18" borderId="18" xfId="0" applyFont="1" applyFill="1" applyBorder="1" applyAlignment="1">
      <alignment horizontal="center" vertical="center"/>
    </xf>
    <xf numFmtId="0" fontId="16" fillId="18" borderId="19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0" fontId="16" fillId="19" borderId="18" xfId="0" applyFont="1" applyFill="1" applyBorder="1" applyAlignment="1">
      <alignment horizontal="center" vertical="center"/>
    </xf>
    <xf numFmtId="0" fontId="16" fillId="20" borderId="17" xfId="0" applyFont="1" applyFill="1" applyBorder="1" applyAlignment="1">
      <alignment horizontal="center" vertical="center"/>
    </xf>
    <xf numFmtId="0" fontId="16" fillId="20" borderId="18" xfId="0" applyFont="1" applyFill="1" applyBorder="1" applyAlignment="1">
      <alignment horizontal="center" vertical="center"/>
    </xf>
    <xf numFmtId="0" fontId="16" fillId="20" borderId="19" xfId="0" applyFont="1" applyFill="1" applyBorder="1" applyAlignment="1">
      <alignment vertical="center"/>
    </xf>
    <xf numFmtId="0" fontId="16" fillId="5" borderId="68" xfId="0" applyFont="1" applyFill="1" applyBorder="1" applyAlignment="1">
      <alignment horizontal="center" vertical="center"/>
    </xf>
    <xf numFmtId="0" fontId="16" fillId="5" borderId="69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4" fillId="12" borderId="22" xfId="0" applyFont="1" applyFill="1" applyBorder="1" applyAlignment="1">
      <alignment vertical="center"/>
    </xf>
    <xf numFmtId="0" fontId="14" fillId="12" borderId="23" xfId="0" applyFont="1" applyFill="1" applyBorder="1" applyAlignment="1">
      <alignment vertical="center"/>
    </xf>
    <xf numFmtId="0" fontId="16" fillId="12" borderId="23" xfId="0" applyFont="1" applyFill="1" applyBorder="1" applyAlignment="1">
      <alignment vertical="center"/>
    </xf>
    <xf numFmtId="0" fontId="16" fillId="12" borderId="25" xfId="0" applyFont="1" applyFill="1" applyBorder="1" applyAlignment="1">
      <alignment horizontal="left" vertical="center" indent="1"/>
    </xf>
    <xf numFmtId="0" fontId="16" fillId="12" borderId="23" xfId="0" applyFont="1" applyFill="1" applyBorder="1" applyAlignment="1">
      <alignment horizontal="left" vertical="center" indent="1"/>
    </xf>
    <xf numFmtId="0" fontId="16" fillId="12" borderId="24" xfId="0" applyFont="1" applyFill="1" applyBorder="1" applyAlignment="1">
      <alignment horizontal="left" vertical="center" indent="1"/>
    </xf>
    <xf numFmtId="0" fontId="14" fillId="18" borderId="25" xfId="0" applyFont="1" applyFill="1" applyBorder="1" applyAlignment="1">
      <alignment horizontal="center" vertical="center"/>
    </xf>
    <xf numFmtId="0" fontId="14" fillId="18" borderId="23" xfId="0" applyFont="1" applyFill="1" applyBorder="1" applyAlignment="1">
      <alignment horizontal="center" vertical="center"/>
    </xf>
    <xf numFmtId="0" fontId="14" fillId="18" borderId="24" xfId="0" applyFont="1" applyFill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8" borderId="25" xfId="0" applyFont="1" applyFill="1" applyBorder="1" applyAlignment="1">
      <alignment horizontal="center" vertical="center"/>
    </xf>
    <xf numFmtId="0" fontId="14" fillId="8" borderId="23" xfId="0" applyFont="1" applyFill="1" applyBorder="1" applyAlignment="1">
      <alignment horizontal="center" vertical="center"/>
    </xf>
    <xf numFmtId="0" fontId="14" fillId="8" borderId="24" xfId="0" applyFont="1" applyFill="1" applyBorder="1" applyAlignment="1">
      <alignment horizontal="center" vertical="center"/>
    </xf>
    <xf numFmtId="0" fontId="14" fillId="21" borderId="23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4" fillId="6" borderId="24" xfId="0" applyFont="1" applyFill="1" applyBorder="1" applyAlignment="1">
      <alignment horizontal="center" vertical="center"/>
    </xf>
    <xf numFmtId="0" fontId="23" fillId="12" borderId="70" xfId="0" applyFont="1" applyFill="1" applyBorder="1" applyAlignment="1">
      <alignment horizontal="center" vertical="center"/>
    </xf>
    <xf numFmtId="0" fontId="23" fillId="12" borderId="23" xfId="0" applyFont="1" applyFill="1" applyBorder="1" applyAlignment="1">
      <alignment horizontal="center" vertical="center"/>
    </xf>
    <xf numFmtId="0" fontId="23" fillId="12" borderId="71" xfId="0" applyFont="1" applyFill="1" applyBorder="1" applyAlignment="1">
      <alignment horizontal="center" vertical="center"/>
    </xf>
    <xf numFmtId="0" fontId="16" fillId="12" borderId="23" xfId="0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center" vertical="center"/>
    </xf>
    <xf numFmtId="1" fontId="16" fillId="12" borderId="35" xfId="0" applyNumberFormat="1" applyFont="1" applyFill="1" applyBorder="1" applyAlignment="1">
      <alignment horizontal="center" vertical="center"/>
    </xf>
    <xf numFmtId="1" fontId="16" fillId="12" borderId="0" xfId="0" applyNumberFormat="1" applyFont="1" applyFill="1" applyAlignment="1">
      <alignment horizontal="center" vertical="center"/>
    </xf>
    <xf numFmtId="1" fontId="16" fillId="12" borderId="36" xfId="0" applyNumberFormat="1" applyFont="1" applyFill="1" applyBorder="1" applyAlignment="1">
      <alignment horizontal="center" vertical="center"/>
    </xf>
    <xf numFmtId="1" fontId="16" fillId="12" borderId="37" xfId="0" applyNumberFormat="1" applyFont="1" applyFill="1" applyBorder="1" applyAlignment="1">
      <alignment horizontal="center" vertical="center"/>
    </xf>
    <xf numFmtId="0" fontId="14" fillId="12" borderId="46" xfId="0" applyFont="1" applyFill="1" applyBorder="1" applyAlignment="1">
      <alignment vertical="center"/>
    </xf>
    <xf numFmtId="0" fontId="14" fillId="12" borderId="32" xfId="0" applyFont="1" applyFill="1" applyBorder="1" applyAlignment="1">
      <alignment vertical="center"/>
    </xf>
    <xf numFmtId="0" fontId="16" fillId="12" borderId="32" xfId="0" applyFont="1" applyFill="1" applyBorder="1" applyAlignment="1">
      <alignment vertical="center"/>
    </xf>
    <xf numFmtId="0" fontId="16" fillId="12" borderId="31" xfId="0" applyFont="1" applyFill="1" applyBorder="1" applyAlignment="1">
      <alignment horizontal="left" vertical="center" indent="1"/>
    </xf>
    <xf numFmtId="0" fontId="16" fillId="12" borderId="32" xfId="0" applyFont="1" applyFill="1" applyBorder="1" applyAlignment="1">
      <alignment horizontal="left" vertical="center" indent="1"/>
    </xf>
    <xf numFmtId="0" fontId="16" fillId="12" borderId="33" xfId="0" applyFont="1" applyFill="1" applyBorder="1" applyAlignment="1">
      <alignment horizontal="left" vertical="center" indent="1"/>
    </xf>
    <xf numFmtId="0" fontId="14" fillId="18" borderId="31" xfId="0" applyFont="1" applyFill="1" applyBorder="1" applyAlignment="1">
      <alignment horizontal="center" vertical="center"/>
    </xf>
    <xf numFmtId="0" fontId="14" fillId="18" borderId="32" xfId="0" applyFont="1" applyFill="1" applyBorder="1" applyAlignment="1">
      <alignment horizontal="center" vertical="center"/>
    </xf>
    <xf numFmtId="0" fontId="14" fillId="18" borderId="33" xfId="0" applyFont="1" applyFill="1" applyBorder="1" applyAlignment="1">
      <alignment horizontal="center" vertical="center"/>
    </xf>
    <xf numFmtId="0" fontId="14" fillId="9" borderId="32" xfId="0" applyFont="1" applyFill="1" applyBorder="1" applyAlignment="1">
      <alignment horizontal="center" vertical="center"/>
    </xf>
    <xf numFmtId="0" fontId="14" fillId="8" borderId="31" xfId="0" applyFont="1" applyFill="1" applyBorder="1" applyAlignment="1">
      <alignment horizontal="center" vertical="center"/>
    </xf>
    <xf numFmtId="0" fontId="14" fillId="8" borderId="32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14" fillId="21" borderId="32" xfId="0" applyFont="1" applyFill="1" applyBorder="1" applyAlignment="1">
      <alignment horizontal="center" vertical="center"/>
    </xf>
    <xf numFmtId="0" fontId="14" fillId="6" borderId="31" xfId="0" applyFont="1" applyFill="1" applyBorder="1" applyAlignment="1">
      <alignment horizontal="center" vertical="center"/>
    </xf>
    <xf numFmtId="0" fontId="14" fillId="6" borderId="32" xfId="0" applyFont="1" applyFill="1" applyBorder="1" applyAlignment="1">
      <alignment horizontal="center" vertical="center"/>
    </xf>
    <xf numFmtId="0" fontId="14" fillId="6" borderId="33" xfId="0" applyFont="1" applyFill="1" applyBorder="1" applyAlignment="1">
      <alignment horizontal="center" vertical="center"/>
    </xf>
    <xf numFmtId="0" fontId="16" fillId="12" borderId="31" xfId="0" applyFont="1" applyFill="1" applyBorder="1" applyAlignment="1">
      <alignment horizontal="center" vertical="center"/>
    </xf>
    <xf numFmtId="0" fontId="16" fillId="12" borderId="32" xfId="0" applyFont="1" applyFill="1" applyBorder="1" applyAlignment="1">
      <alignment horizontal="center" vertical="center"/>
    </xf>
    <xf numFmtId="1" fontId="32" fillId="22" borderId="72" xfId="0" applyNumberFormat="1" applyFont="1" applyFill="1" applyBorder="1" applyAlignment="1">
      <alignment horizontal="center" vertical="center"/>
    </xf>
    <xf numFmtId="1" fontId="32" fillId="22" borderId="32" xfId="0" applyNumberFormat="1" applyFont="1" applyFill="1" applyBorder="1" applyAlignment="1">
      <alignment horizontal="center" vertical="center"/>
    </xf>
    <xf numFmtId="1" fontId="32" fillId="22" borderId="73" xfId="0" applyNumberFormat="1" applyFont="1" applyFill="1" applyBorder="1" applyAlignment="1">
      <alignment horizontal="center" vertical="center"/>
    </xf>
    <xf numFmtId="0" fontId="16" fillId="12" borderId="32" xfId="0" applyFont="1" applyFill="1" applyBorder="1" applyAlignment="1">
      <alignment horizontal="center"/>
    </xf>
    <xf numFmtId="0" fontId="16" fillId="12" borderId="33" xfId="0" applyFont="1" applyFill="1" applyBorder="1" applyAlignment="1">
      <alignment horizontal="center"/>
    </xf>
    <xf numFmtId="1" fontId="16" fillId="12" borderId="30" xfId="0" applyNumberFormat="1" applyFont="1" applyFill="1" applyBorder="1" applyAlignment="1">
      <alignment horizontal="center" vertical="center"/>
    </xf>
    <xf numFmtId="1" fontId="16" fillId="12" borderId="28" xfId="0" applyNumberFormat="1" applyFont="1" applyFill="1" applyBorder="1" applyAlignment="1">
      <alignment horizontal="center" vertical="center"/>
    </xf>
    <xf numFmtId="1" fontId="16" fillId="12" borderId="29" xfId="0" applyNumberFormat="1" applyFont="1" applyFill="1" applyBorder="1" applyAlignment="1">
      <alignment horizontal="center" vertical="center"/>
    </xf>
    <xf numFmtId="1" fontId="16" fillId="12" borderId="34" xfId="0" applyNumberFormat="1" applyFont="1" applyFill="1" applyBorder="1" applyAlignment="1">
      <alignment horizontal="center" vertical="center"/>
    </xf>
    <xf numFmtId="0" fontId="14" fillId="18" borderId="31" xfId="0" applyFont="1" applyFill="1" applyBorder="1" applyAlignment="1">
      <alignment horizontal="center" vertical="center"/>
    </xf>
    <xf numFmtId="0" fontId="14" fillId="18" borderId="32" xfId="0" applyFont="1" applyFill="1" applyBorder="1" applyAlignment="1">
      <alignment horizontal="center" vertical="center"/>
    </xf>
    <xf numFmtId="0" fontId="14" fillId="18" borderId="33" xfId="0" applyFont="1" applyFill="1" applyBorder="1" applyAlignment="1">
      <alignment horizontal="center" vertical="center"/>
    </xf>
    <xf numFmtId="0" fontId="14" fillId="8" borderId="31" xfId="0" applyFont="1" applyFill="1" applyBorder="1" applyAlignment="1">
      <alignment horizontal="center" vertical="center"/>
    </xf>
    <xf numFmtId="0" fontId="14" fillId="8" borderId="32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14" fillId="6" borderId="31" xfId="0" applyFont="1" applyFill="1" applyBorder="1" applyAlignment="1">
      <alignment horizontal="center" vertical="center"/>
    </xf>
    <xf numFmtId="0" fontId="14" fillId="6" borderId="32" xfId="0" applyFont="1" applyFill="1" applyBorder="1" applyAlignment="1">
      <alignment horizontal="center" vertical="center"/>
    </xf>
    <xf numFmtId="0" fontId="14" fillId="6" borderId="33" xfId="0" applyFont="1" applyFill="1" applyBorder="1" applyAlignment="1">
      <alignment horizontal="center" vertical="center"/>
    </xf>
    <xf numFmtId="0" fontId="16" fillId="12" borderId="33" xfId="0" applyFont="1" applyFill="1" applyBorder="1" applyAlignment="1">
      <alignment horizontal="center" vertical="center"/>
    </xf>
    <xf numFmtId="49" fontId="32" fillId="22" borderId="72" xfId="0" applyNumberFormat="1" applyFont="1" applyFill="1" applyBorder="1" applyAlignment="1">
      <alignment horizontal="center" vertical="center"/>
    </xf>
    <xf numFmtId="49" fontId="32" fillId="22" borderId="32" xfId="0" applyNumberFormat="1" applyFont="1" applyFill="1" applyBorder="1" applyAlignment="1">
      <alignment horizontal="center" vertical="center"/>
    </xf>
    <xf numFmtId="49" fontId="32" fillId="22" borderId="73" xfId="0" applyNumberFormat="1" applyFont="1" applyFill="1" applyBorder="1" applyAlignment="1">
      <alignment horizontal="center" vertical="center"/>
    </xf>
    <xf numFmtId="0" fontId="31" fillId="12" borderId="46" xfId="0" applyFont="1" applyFill="1" applyBorder="1" applyAlignment="1">
      <alignment vertical="center"/>
    </xf>
    <xf numFmtId="0" fontId="32" fillId="22" borderId="72" xfId="0" applyFont="1" applyFill="1" applyBorder="1" applyAlignment="1">
      <alignment horizontal="center" vertical="center"/>
    </xf>
    <xf numFmtId="0" fontId="32" fillId="22" borderId="32" xfId="0" applyFont="1" applyFill="1" applyBorder="1" applyAlignment="1">
      <alignment horizontal="center" vertical="center"/>
    </xf>
    <xf numFmtId="0" fontId="32" fillId="22" borderId="73" xfId="0" applyFont="1" applyFill="1" applyBorder="1" applyAlignment="1">
      <alignment horizontal="center" vertical="center"/>
    </xf>
    <xf numFmtId="1" fontId="16" fillId="12" borderId="31" xfId="0" applyNumberFormat="1" applyFont="1" applyFill="1" applyBorder="1" applyAlignment="1">
      <alignment horizontal="center" vertical="center"/>
    </xf>
    <xf numFmtId="1" fontId="16" fillId="12" borderId="32" xfId="0" applyNumberFormat="1" applyFont="1" applyFill="1" applyBorder="1" applyAlignment="1">
      <alignment horizontal="center" vertical="center"/>
    </xf>
    <xf numFmtId="1" fontId="16" fillId="12" borderId="33" xfId="0" applyNumberFormat="1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vertical="center"/>
    </xf>
    <xf numFmtId="0" fontId="16" fillId="4" borderId="32" xfId="0" applyFont="1" applyFill="1" applyBorder="1" applyAlignment="1">
      <alignment vertical="center"/>
    </xf>
    <xf numFmtId="0" fontId="16" fillId="4" borderId="31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/>
    </xf>
    <xf numFmtId="0" fontId="16" fillId="4" borderId="32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2" xfId="0" applyFont="1" applyFill="1" applyBorder="1" applyAlignment="1">
      <alignment horizontal="center"/>
    </xf>
    <xf numFmtId="0" fontId="16" fillId="4" borderId="31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167" fontId="16" fillId="4" borderId="31" xfId="0" applyNumberFormat="1" applyFont="1" applyFill="1" applyBorder="1" applyAlignment="1">
      <alignment horizontal="center" vertical="center"/>
    </xf>
    <xf numFmtId="167" fontId="16" fillId="4" borderId="32" xfId="0" applyNumberFormat="1" applyFont="1" applyFill="1" applyBorder="1" applyAlignment="1">
      <alignment horizontal="center" vertical="center"/>
    </xf>
    <xf numFmtId="167" fontId="16" fillId="4" borderId="33" xfId="0" applyNumberFormat="1" applyFont="1" applyFill="1" applyBorder="1" applyAlignment="1">
      <alignment horizontal="center" vertical="center"/>
    </xf>
    <xf numFmtId="167" fontId="16" fillId="4" borderId="74" xfId="0" applyNumberFormat="1" applyFont="1" applyFill="1" applyBorder="1" applyAlignment="1">
      <alignment horizontal="center" vertical="center"/>
    </xf>
    <xf numFmtId="0" fontId="30" fillId="4" borderId="59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167" fontId="23" fillId="4" borderId="17" xfId="0" applyNumberFormat="1" applyFont="1" applyFill="1" applyBorder="1" applyAlignment="1">
      <alignment horizontal="center" vertical="center"/>
    </xf>
    <xf numFmtId="167" fontId="23" fillId="4" borderId="18" xfId="0" applyNumberFormat="1" applyFont="1" applyFill="1" applyBorder="1" applyAlignment="1">
      <alignment horizontal="center" vertical="center"/>
    </xf>
    <xf numFmtId="2" fontId="30" fillId="13" borderId="75" xfId="0" applyNumberFormat="1" applyFont="1" applyFill="1" applyBorder="1" applyAlignment="1">
      <alignment horizontal="center" vertical="center"/>
    </xf>
    <xf numFmtId="0" fontId="33" fillId="4" borderId="60" xfId="0" applyFont="1" applyFill="1" applyBorder="1" applyAlignment="1">
      <alignment horizontal="center" vertical="center"/>
    </xf>
    <xf numFmtId="0" fontId="33" fillId="4" borderId="61" xfId="0" applyFont="1" applyFill="1" applyBorder="1" applyAlignment="1">
      <alignment horizontal="center" vertical="center"/>
    </xf>
    <xf numFmtId="0" fontId="33" fillId="4" borderId="76" xfId="0" applyFont="1" applyFill="1" applyBorder="1" applyAlignment="1">
      <alignment horizontal="center" vertical="center"/>
    </xf>
    <xf numFmtId="2" fontId="33" fillId="13" borderId="64" xfId="0" applyNumberFormat="1" applyFont="1" applyFill="1" applyBorder="1" applyAlignment="1">
      <alignment horizontal="center" vertical="center"/>
    </xf>
    <xf numFmtId="0" fontId="10" fillId="4" borderId="60" xfId="0" applyFont="1" applyFill="1" applyBorder="1" applyAlignment="1">
      <alignment horizontal="left" vertical="center"/>
    </xf>
    <xf numFmtId="0" fontId="11" fillId="4" borderId="61" xfId="0" applyFont="1" applyFill="1" applyBorder="1" applyAlignment="1">
      <alignment vertical="center"/>
    </xf>
    <xf numFmtId="0" fontId="11" fillId="4" borderId="77" xfId="0" applyFont="1" applyFill="1" applyBorder="1" applyAlignment="1">
      <alignment vertical="center"/>
    </xf>
    <xf numFmtId="0" fontId="25" fillId="18" borderId="17" xfId="0" applyFont="1" applyFill="1" applyBorder="1" applyAlignment="1">
      <alignment vertical="center"/>
    </xf>
    <xf numFmtId="0" fontId="25" fillId="18" borderId="18" xfId="0" applyFont="1" applyFill="1" applyBorder="1" applyAlignment="1">
      <alignment horizontal="center" vertical="center"/>
    </xf>
    <xf numFmtId="0" fontId="25" fillId="18" borderId="19" xfId="0" applyFont="1" applyFill="1" applyBorder="1" applyAlignment="1">
      <alignment vertical="center"/>
    </xf>
    <xf numFmtId="0" fontId="25" fillId="9" borderId="18" xfId="0" applyFont="1" applyFill="1" applyBorder="1" applyAlignment="1">
      <alignment vertical="center"/>
    </xf>
    <xf numFmtId="0" fontId="25" fillId="9" borderId="18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vertical="center"/>
    </xf>
    <xf numFmtId="0" fontId="25" fillId="8" borderId="18" xfId="0" applyFont="1" applyFill="1" applyBorder="1" applyAlignment="1">
      <alignment horizontal="center" vertical="center"/>
    </xf>
    <xf numFmtId="0" fontId="25" fillId="8" borderId="19" xfId="0" applyFont="1" applyFill="1" applyBorder="1" applyAlignment="1">
      <alignment vertical="center"/>
    </xf>
    <xf numFmtId="0" fontId="25" fillId="19" borderId="18" xfId="0" applyFont="1" applyFill="1" applyBorder="1" applyAlignment="1">
      <alignment vertical="center"/>
    </xf>
    <xf numFmtId="0" fontId="25" fillId="19" borderId="18" xfId="0" applyFont="1" applyFill="1" applyBorder="1" applyAlignment="1">
      <alignment horizontal="center" vertical="center"/>
    </xf>
    <xf numFmtId="0" fontId="25" fillId="20" borderId="17" xfId="0" applyFont="1" applyFill="1" applyBorder="1" applyAlignment="1">
      <alignment vertical="center"/>
    </xf>
    <xf numFmtId="0" fontId="25" fillId="20" borderId="18" xfId="0" applyFont="1" applyFill="1" applyBorder="1" applyAlignment="1">
      <alignment horizontal="center" vertical="center"/>
    </xf>
    <xf numFmtId="0" fontId="25" fillId="20" borderId="19" xfId="0" applyFont="1" applyFill="1" applyBorder="1" applyAlignment="1">
      <alignment vertical="center"/>
    </xf>
    <xf numFmtId="0" fontId="14" fillId="13" borderId="53" xfId="0" applyFont="1" applyFill="1" applyBorder="1" applyAlignment="1">
      <alignment horizontal="left" vertical="center" indent="1"/>
    </xf>
    <xf numFmtId="0" fontId="14" fillId="13" borderId="12" xfId="0" applyFont="1" applyFill="1" applyBorder="1" applyAlignment="1">
      <alignment horizontal="left" vertical="center" indent="1"/>
    </xf>
    <xf numFmtId="0" fontId="15" fillId="13" borderId="12" xfId="0" applyFont="1" applyFill="1" applyBorder="1" applyAlignment="1">
      <alignment horizontal="left" vertical="center" indent="1"/>
    </xf>
    <xf numFmtId="0" fontId="34" fillId="13" borderId="11" xfId="0" applyFont="1" applyFill="1" applyBorder="1" applyAlignment="1">
      <alignment horizontal="left" vertical="center" indent="1"/>
    </xf>
    <xf numFmtId="0" fontId="34" fillId="13" borderId="12" xfId="0" applyFont="1" applyFill="1" applyBorder="1" applyAlignment="1">
      <alignment horizontal="center" vertical="center"/>
    </xf>
    <xf numFmtId="0" fontId="34" fillId="13" borderId="13" xfId="0" applyFont="1" applyFill="1" applyBorder="1" applyAlignment="1">
      <alignment horizontal="center" vertical="center"/>
    </xf>
    <xf numFmtId="0" fontId="25" fillId="18" borderId="11" xfId="0" applyFont="1" applyFill="1" applyBorder="1" applyAlignment="1">
      <alignment vertical="center"/>
    </xf>
    <xf numFmtId="0" fontId="35" fillId="18" borderId="12" xfId="0" applyFont="1" applyFill="1" applyBorder="1" applyAlignment="1">
      <alignment horizontal="center" vertical="center"/>
    </xf>
    <xf numFmtId="0" fontId="25" fillId="18" borderId="13" xfId="0" applyFont="1" applyFill="1" applyBorder="1" applyAlignment="1">
      <alignment horizontal="center" vertical="center"/>
    </xf>
    <xf numFmtId="0" fontId="25" fillId="9" borderId="12" xfId="0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0" fontId="25" fillId="8" borderId="12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21" borderId="12" xfId="0" applyFont="1" applyFill="1" applyBorder="1" applyAlignment="1">
      <alignment horizontal="center" vertical="center"/>
    </xf>
    <xf numFmtId="0" fontId="25" fillId="6" borderId="11" xfId="0" applyFont="1" applyFill="1" applyBorder="1" applyAlignment="1">
      <alignment horizontal="center" vertical="center"/>
    </xf>
    <xf numFmtId="0" fontId="35" fillId="6" borderId="32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0" fontId="16" fillId="13" borderId="78" xfId="0" applyFont="1" applyFill="1" applyBorder="1" applyAlignment="1">
      <alignment horizontal="center" vertical="center"/>
    </xf>
    <xf numFmtId="0" fontId="16" fillId="13" borderId="79" xfId="0" applyFont="1" applyFill="1" applyBorder="1" applyAlignment="1">
      <alignment horizontal="right" vertical="center"/>
    </xf>
    <xf numFmtId="2" fontId="16" fillId="13" borderId="12" xfId="0" applyNumberFormat="1" applyFont="1" applyFill="1" applyBorder="1" applyAlignment="1">
      <alignment horizontal="center" vertical="center"/>
    </xf>
    <xf numFmtId="0" fontId="16" fillId="13" borderId="78" xfId="0" applyFont="1" applyFill="1" applyBorder="1" applyAlignment="1">
      <alignment vertical="center"/>
    </xf>
    <xf numFmtId="0" fontId="16" fillId="13" borderId="13" xfId="0" applyFont="1" applyFill="1" applyBorder="1" applyAlignment="1">
      <alignment horizontal="center" vertical="center"/>
    </xf>
    <xf numFmtId="1" fontId="16" fillId="13" borderId="55" xfId="0" applyNumberFormat="1" applyFont="1" applyFill="1" applyBorder="1" applyAlignment="1">
      <alignment horizontal="center" vertical="center"/>
    </xf>
    <xf numFmtId="0" fontId="14" fillId="13" borderId="46" xfId="0" applyFont="1" applyFill="1" applyBorder="1" applyAlignment="1">
      <alignment horizontal="left" vertical="center" indent="1"/>
    </xf>
    <xf numFmtId="0" fontId="14" fillId="13" borderId="32" xfId="0" applyFont="1" applyFill="1" applyBorder="1" applyAlignment="1">
      <alignment horizontal="left" vertical="center" indent="1"/>
    </xf>
    <xf numFmtId="0" fontId="15" fillId="13" borderId="32" xfId="0" applyFont="1" applyFill="1" applyBorder="1" applyAlignment="1">
      <alignment horizontal="left" vertical="center" indent="1"/>
    </xf>
    <xf numFmtId="0" fontId="34" fillId="13" borderId="31" xfId="0" applyFont="1" applyFill="1" applyBorder="1" applyAlignment="1">
      <alignment horizontal="left" vertical="center" indent="1"/>
    </xf>
    <xf numFmtId="0" fontId="34" fillId="13" borderId="32" xfId="0" applyFont="1" applyFill="1" applyBorder="1" applyAlignment="1">
      <alignment horizontal="center" vertical="center"/>
    </xf>
    <xf numFmtId="0" fontId="34" fillId="13" borderId="33" xfId="0" applyFont="1" applyFill="1" applyBorder="1" applyAlignment="1">
      <alignment horizontal="center" vertical="center"/>
    </xf>
    <xf numFmtId="0" fontId="25" fillId="18" borderId="31" xfId="0" applyFont="1" applyFill="1" applyBorder="1" applyAlignment="1">
      <alignment vertical="center"/>
    </xf>
    <xf numFmtId="0" fontId="35" fillId="18" borderId="32" xfId="0" applyFont="1" applyFill="1" applyBorder="1" applyAlignment="1">
      <alignment horizontal="center" vertical="center"/>
    </xf>
    <xf numFmtId="0" fontId="25" fillId="18" borderId="33" xfId="0" applyFont="1" applyFill="1" applyBorder="1" applyAlignment="1">
      <alignment horizontal="center" vertical="center"/>
    </xf>
    <xf numFmtId="0" fontId="25" fillId="9" borderId="32" xfId="0" applyFont="1" applyFill="1" applyBorder="1" applyAlignment="1">
      <alignment horizontal="center" vertical="center"/>
    </xf>
    <xf numFmtId="0" fontId="25" fillId="8" borderId="31" xfId="0" applyFont="1" applyFill="1" applyBorder="1" applyAlignment="1">
      <alignment horizontal="center" vertical="center"/>
    </xf>
    <xf numFmtId="0" fontId="25" fillId="8" borderId="32" xfId="0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/>
    </xf>
    <xf numFmtId="0" fontId="25" fillId="21" borderId="32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/>
    </xf>
    <xf numFmtId="0" fontId="25" fillId="6" borderId="32" xfId="0" applyFont="1" applyFill="1" applyBorder="1" applyAlignment="1">
      <alignment horizontal="center" vertical="center"/>
    </xf>
    <xf numFmtId="0" fontId="25" fillId="6" borderId="33" xfId="0" applyFont="1" applyFill="1" applyBorder="1" applyAlignment="1">
      <alignment horizontal="center" vertical="center"/>
    </xf>
    <xf numFmtId="0" fontId="16" fillId="13" borderId="73" xfId="0" applyFont="1" applyFill="1" applyBorder="1" applyAlignment="1">
      <alignment horizontal="center" vertical="center"/>
    </xf>
    <xf numFmtId="0" fontId="16" fillId="22" borderId="72" xfId="0" applyFont="1" applyFill="1" applyBorder="1" applyAlignment="1">
      <alignment horizontal="right" vertical="center"/>
    </xf>
    <xf numFmtId="0" fontId="16" fillId="22" borderId="32" xfId="0" applyFont="1" applyFill="1" applyBorder="1" applyAlignment="1">
      <alignment horizontal="center" vertical="center"/>
    </xf>
    <xf numFmtId="0" fontId="16" fillId="22" borderId="73" xfId="0" applyFont="1" applyFill="1" applyBorder="1" applyAlignment="1">
      <alignment vertical="center"/>
    </xf>
    <xf numFmtId="1" fontId="16" fillId="13" borderId="58" xfId="0" applyNumberFormat="1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left" vertical="center" indent="1"/>
    </xf>
    <xf numFmtId="0" fontId="14" fillId="13" borderId="23" xfId="0" applyFont="1" applyFill="1" applyBorder="1" applyAlignment="1">
      <alignment vertical="center"/>
    </xf>
    <xf numFmtId="0" fontId="16" fillId="13" borderId="23" xfId="0" applyFont="1" applyFill="1" applyBorder="1" applyAlignment="1">
      <alignment vertical="center"/>
    </xf>
    <xf numFmtId="0" fontId="34" fillId="13" borderId="31" xfId="0" applyFont="1" applyFill="1" applyBorder="1" applyAlignment="1">
      <alignment horizontal="left" vertical="center" wrapText="1" indent="1"/>
    </xf>
    <xf numFmtId="0" fontId="34" fillId="13" borderId="32" xfId="0" applyFont="1" applyFill="1" applyBorder="1" applyAlignment="1">
      <alignment horizontal="left" vertical="center" wrapText="1" indent="1"/>
    </xf>
    <xf numFmtId="0" fontId="34" fillId="13" borderId="33" xfId="0" applyFont="1" applyFill="1" applyBorder="1" applyAlignment="1">
      <alignment horizontal="left" vertical="center" wrapText="1" indent="1"/>
    </xf>
    <xf numFmtId="0" fontId="25" fillId="18" borderId="25" xfId="0" applyFont="1" applyFill="1" applyBorder="1" applyAlignment="1">
      <alignment horizontal="center" vertical="center"/>
    </xf>
    <xf numFmtId="0" fontId="25" fillId="18" borderId="23" xfId="0" applyFont="1" applyFill="1" applyBorder="1" applyAlignment="1">
      <alignment horizontal="center" vertical="center"/>
    </xf>
    <xf numFmtId="0" fontId="25" fillId="18" borderId="24" xfId="0" applyFont="1" applyFill="1" applyBorder="1" applyAlignment="1">
      <alignment horizontal="center" vertical="center"/>
    </xf>
    <xf numFmtId="0" fontId="25" fillId="9" borderId="23" xfId="0" applyFont="1" applyFill="1" applyBorder="1" applyAlignment="1">
      <alignment horizontal="center" vertical="center"/>
    </xf>
    <xf numFmtId="0" fontId="25" fillId="8" borderId="25" xfId="0" applyFont="1" applyFill="1" applyBorder="1" applyAlignment="1">
      <alignment horizontal="center" vertical="center"/>
    </xf>
    <xf numFmtId="0" fontId="25" fillId="8" borderId="23" xfId="0" applyFont="1" applyFill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25" fillId="21" borderId="23" xfId="0" applyFont="1" applyFill="1" applyBorder="1" applyAlignment="1">
      <alignment horizontal="center" vertical="center"/>
    </xf>
    <xf numFmtId="0" fontId="25" fillId="6" borderId="25" xfId="0" applyFont="1" applyFill="1" applyBorder="1" applyAlignment="1">
      <alignment horizontal="center" vertical="center"/>
    </xf>
    <xf numFmtId="0" fontId="25" fillId="6" borderId="23" xfId="0" applyFont="1" applyFill="1" applyBorder="1" applyAlignment="1">
      <alignment horizontal="center" vertical="center"/>
    </xf>
    <xf numFmtId="0" fontId="25" fillId="6" borderId="24" xfId="0" applyFont="1" applyFill="1" applyBorder="1" applyAlignment="1">
      <alignment horizontal="center" vertical="center"/>
    </xf>
    <xf numFmtId="0" fontId="16" fillId="13" borderId="23" xfId="0" applyFont="1" applyFill="1" applyBorder="1" applyAlignment="1">
      <alignment horizontal="center" vertical="center"/>
    </xf>
    <xf numFmtId="0" fontId="16" fillId="13" borderId="71" xfId="0" applyFont="1" applyFill="1" applyBorder="1" applyAlignment="1">
      <alignment horizontal="center" vertical="center"/>
    </xf>
    <xf numFmtId="167" fontId="32" fillId="22" borderId="70" xfId="0" applyNumberFormat="1" applyFont="1" applyFill="1" applyBorder="1" applyAlignment="1">
      <alignment horizontal="center" vertical="center"/>
    </xf>
    <xf numFmtId="167" fontId="32" fillId="22" borderId="23" xfId="0" applyNumberFormat="1" applyFont="1" applyFill="1" applyBorder="1" applyAlignment="1">
      <alignment horizontal="center" vertical="center"/>
    </xf>
    <xf numFmtId="167" fontId="32" fillId="22" borderId="71" xfId="0" applyNumberFormat="1" applyFont="1" applyFill="1" applyBorder="1" applyAlignment="1">
      <alignment horizontal="center" vertical="center"/>
    </xf>
    <xf numFmtId="1" fontId="16" fillId="13" borderId="30" xfId="0" applyNumberFormat="1" applyFont="1" applyFill="1" applyBorder="1" applyAlignment="1">
      <alignment horizontal="center" vertical="center"/>
    </xf>
    <xf numFmtId="1" fontId="16" fillId="13" borderId="28" xfId="0" applyNumberFormat="1" applyFont="1" applyFill="1" applyBorder="1" applyAlignment="1">
      <alignment horizontal="center" vertical="center"/>
    </xf>
    <xf numFmtId="1" fontId="16" fillId="13" borderId="29" xfId="0" applyNumberFormat="1" applyFont="1" applyFill="1" applyBorder="1" applyAlignment="1">
      <alignment horizontal="center" vertical="center"/>
    </xf>
    <xf numFmtId="0" fontId="14" fillId="13" borderId="32" xfId="0" applyFont="1" applyFill="1" applyBorder="1" applyAlignment="1">
      <alignment vertical="center"/>
    </xf>
    <xf numFmtId="0" fontId="16" fillId="13" borderId="32" xfId="0" applyFont="1" applyFill="1" applyBorder="1" applyAlignment="1">
      <alignment vertical="center"/>
    </xf>
    <xf numFmtId="0" fontId="34" fillId="13" borderId="32" xfId="0" applyFont="1" applyFill="1" applyBorder="1" applyAlignment="1">
      <alignment vertical="center"/>
    </xf>
    <xf numFmtId="0" fontId="34" fillId="13" borderId="33" xfId="0" applyFont="1" applyFill="1" applyBorder="1" applyAlignment="1">
      <alignment vertical="center"/>
    </xf>
    <xf numFmtId="0" fontId="25" fillId="18" borderId="31" xfId="0" applyFont="1" applyFill="1" applyBorder="1" applyAlignment="1">
      <alignment horizontal="center" vertical="center"/>
    </xf>
    <xf numFmtId="0" fontId="25" fillId="18" borderId="32" xfId="0" applyFont="1" applyFill="1" applyBorder="1" applyAlignment="1">
      <alignment horizontal="center" vertical="center"/>
    </xf>
    <xf numFmtId="0" fontId="25" fillId="18" borderId="33" xfId="0" applyFont="1" applyFill="1" applyBorder="1" applyAlignment="1">
      <alignment horizontal="center" vertical="center"/>
    </xf>
    <xf numFmtId="0" fontId="25" fillId="8" borderId="31" xfId="0" applyFont="1" applyFill="1" applyBorder="1" applyAlignment="1">
      <alignment horizontal="center" vertical="center" wrapText="1"/>
    </xf>
    <xf numFmtId="0" fontId="25" fillId="8" borderId="32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 wrapText="1"/>
    </xf>
    <xf numFmtId="0" fontId="25" fillId="21" borderId="32" xfId="0" applyFont="1" applyFill="1" applyBorder="1" applyAlignment="1">
      <alignment horizontal="center" vertical="center" wrapText="1"/>
    </xf>
    <xf numFmtId="0" fontId="25" fillId="6" borderId="31" xfId="0" applyFont="1" applyFill="1" applyBorder="1" applyAlignment="1">
      <alignment horizontal="center" vertical="center" wrapText="1"/>
    </xf>
    <xf numFmtId="0" fontId="25" fillId="6" borderId="32" xfId="0" applyFont="1" applyFill="1" applyBorder="1" applyAlignment="1">
      <alignment horizontal="center" vertical="center" wrapText="1"/>
    </xf>
    <xf numFmtId="0" fontId="25" fillId="6" borderId="33" xfId="0" applyFont="1" applyFill="1" applyBorder="1" applyAlignment="1">
      <alignment horizontal="center" vertical="center" wrapText="1"/>
    </xf>
    <xf numFmtId="0" fontId="25" fillId="18" borderId="31" xfId="0" applyFont="1" applyFill="1" applyBorder="1" applyAlignment="1">
      <alignment horizontal="center" vertical="center" wrapText="1"/>
    </xf>
    <xf numFmtId="0" fontId="25" fillId="18" borderId="32" xfId="0" applyFont="1" applyFill="1" applyBorder="1" applyAlignment="1">
      <alignment horizontal="center" vertical="center" wrapText="1"/>
    </xf>
    <xf numFmtId="0" fontId="25" fillId="18" borderId="33" xfId="0" applyFont="1" applyFill="1" applyBorder="1" applyAlignment="1">
      <alignment horizontal="center" vertical="center" wrapText="1"/>
    </xf>
    <xf numFmtId="0" fontId="25" fillId="8" borderId="31" xfId="0" applyFont="1" applyFill="1" applyBorder="1" applyAlignment="1">
      <alignment horizontal="center" vertical="center" wrapText="1"/>
    </xf>
    <xf numFmtId="0" fontId="25" fillId="8" borderId="32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 wrapText="1"/>
    </xf>
    <xf numFmtId="0" fontId="25" fillId="6" borderId="31" xfId="0" applyFont="1" applyFill="1" applyBorder="1" applyAlignment="1">
      <alignment horizontal="center" vertical="center" wrapText="1"/>
    </xf>
    <xf numFmtId="0" fontId="25" fillId="6" borderId="33" xfId="0" applyFont="1" applyFill="1" applyBorder="1" applyAlignment="1">
      <alignment horizontal="center" vertical="center" wrapText="1"/>
    </xf>
    <xf numFmtId="0" fontId="14" fillId="13" borderId="25" xfId="0" applyFont="1" applyFill="1" applyBorder="1" applyAlignment="1">
      <alignment horizontal="center" vertical="center"/>
    </xf>
    <xf numFmtId="0" fontId="14" fillId="13" borderId="23" xfId="0" applyFont="1" applyFill="1" applyBorder="1" applyAlignment="1">
      <alignment horizontal="center" vertical="center"/>
    </xf>
    <xf numFmtId="0" fontId="14" fillId="13" borderId="71" xfId="0" applyFont="1" applyFill="1" applyBorder="1" applyAlignment="1">
      <alignment horizontal="center" vertical="center"/>
    </xf>
    <xf numFmtId="0" fontId="31" fillId="22" borderId="72" xfId="0" applyFont="1" applyFill="1" applyBorder="1" applyAlignment="1">
      <alignment horizontal="right" vertical="center" wrapText="1"/>
    </xf>
    <xf numFmtId="0" fontId="31" fillId="22" borderId="32" xfId="0" applyFont="1" applyFill="1" applyBorder="1" applyAlignment="1">
      <alignment horizontal="center" vertical="center" wrapText="1"/>
    </xf>
    <xf numFmtId="0" fontId="31" fillId="22" borderId="73" xfId="0" applyFont="1" applyFill="1" applyBorder="1" applyAlignment="1">
      <alignment vertical="center" wrapText="1"/>
    </xf>
    <xf numFmtId="0" fontId="34" fillId="18" borderId="31" xfId="0" applyFont="1" applyFill="1" applyBorder="1" applyAlignment="1">
      <alignment horizontal="center" vertical="center" wrapText="1"/>
    </xf>
    <xf numFmtId="0" fontId="34" fillId="18" borderId="32" xfId="0" applyFont="1" applyFill="1" applyBorder="1" applyAlignment="1">
      <alignment horizontal="center" vertical="center" wrapText="1"/>
    </xf>
    <xf numFmtId="0" fontId="34" fillId="18" borderId="33" xfId="0" applyFont="1" applyFill="1" applyBorder="1" applyAlignment="1">
      <alignment horizontal="center" vertical="center" wrapText="1"/>
    </xf>
    <xf numFmtId="0" fontId="34" fillId="9" borderId="32" xfId="0" applyFont="1" applyFill="1" applyBorder="1" applyAlignment="1">
      <alignment horizontal="center" vertical="center"/>
    </xf>
    <xf numFmtId="0" fontId="34" fillId="8" borderId="31" xfId="0" applyFont="1" applyFill="1" applyBorder="1" applyAlignment="1">
      <alignment horizontal="center" vertical="center" wrapText="1"/>
    </xf>
    <xf numFmtId="0" fontId="34" fillId="8" borderId="32" xfId="0" applyFont="1" applyFill="1" applyBorder="1" applyAlignment="1">
      <alignment horizontal="center" vertical="center" wrapText="1"/>
    </xf>
    <xf numFmtId="0" fontId="34" fillId="8" borderId="33" xfId="0" applyFont="1" applyFill="1" applyBorder="1" applyAlignment="1">
      <alignment horizontal="center" vertical="center" wrapText="1"/>
    </xf>
    <xf numFmtId="0" fontId="34" fillId="21" borderId="32" xfId="0" applyFont="1" applyFill="1" applyBorder="1" applyAlignment="1">
      <alignment horizontal="center" vertical="center"/>
    </xf>
    <xf numFmtId="0" fontId="34" fillId="6" borderId="31" xfId="0" applyFont="1" applyFill="1" applyBorder="1" applyAlignment="1">
      <alignment horizontal="center" vertical="center" wrapText="1"/>
    </xf>
    <xf numFmtId="0" fontId="34" fillId="6" borderId="32" xfId="0" applyFont="1" applyFill="1" applyBorder="1" applyAlignment="1">
      <alignment horizontal="center" vertical="center" wrapText="1"/>
    </xf>
    <xf numFmtId="0" fontId="34" fillId="6" borderId="33" xfId="0" applyFont="1" applyFill="1" applyBorder="1" applyAlignment="1">
      <alignment horizontal="center" vertical="center" wrapText="1"/>
    </xf>
    <xf numFmtId="0" fontId="34" fillId="13" borderId="25" xfId="0" applyFont="1" applyFill="1" applyBorder="1" applyAlignment="1">
      <alignment horizontal="center" vertical="center"/>
    </xf>
    <xf numFmtId="0" fontId="34" fillId="13" borderId="23" xfId="0" applyFont="1" applyFill="1" applyBorder="1" applyAlignment="1">
      <alignment horizontal="center" vertical="center"/>
    </xf>
    <xf numFmtId="0" fontId="34" fillId="13" borderId="71" xfId="0" applyFont="1" applyFill="1" applyBorder="1" applyAlignment="1">
      <alignment horizontal="center" vertical="center"/>
    </xf>
    <xf numFmtId="0" fontId="36" fillId="22" borderId="72" xfId="0" applyFont="1" applyFill="1" applyBorder="1" applyAlignment="1">
      <alignment horizontal="center" vertical="center" wrapText="1"/>
    </xf>
    <xf numFmtId="0" fontId="36" fillId="22" borderId="32" xfId="0" applyFont="1" applyFill="1" applyBorder="1" applyAlignment="1">
      <alignment horizontal="center" vertical="center" wrapText="1"/>
    </xf>
    <xf numFmtId="0" fontId="36" fillId="22" borderId="73" xfId="0" applyFont="1" applyFill="1" applyBorder="1" applyAlignment="1">
      <alignment horizontal="center" vertical="center" wrapText="1"/>
    </xf>
    <xf numFmtId="0" fontId="31" fillId="13" borderId="46" xfId="0" applyFont="1" applyFill="1" applyBorder="1" applyAlignment="1">
      <alignment horizontal="left" vertical="center" indent="1"/>
    </xf>
    <xf numFmtId="0" fontId="34" fillId="13" borderId="31" xfId="0" applyFont="1" applyFill="1" applyBorder="1" applyAlignment="1">
      <alignment horizontal="left" vertical="center" indent="1"/>
    </xf>
    <xf numFmtId="0" fontId="34" fillId="13" borderId="32" xfId="0" applyFont="1" applyFill="1" applyBorder="1" applyAlignment="1">
      <alignment horizontal="left" vertical="center" indent="1"/>
    </xf>
    <xf numFmtId="0" fontId="34" fillId="13" borderId="33" xfId="0" applyFont="1" applyFill="1" applyBorder="1" applyAlignment="1">
      <alignment horizontal="left" vertical="center" indent="1"/>
    </xf>
    <xf numFmtId="0" fontId="34" fillId="8" borderId="31" xfId="0" applyFont="1" applyFill="1" applyBorder="1" applyAlignment="1">
      <alignment horizontal="center" vertical="top" wrapText="1"/>
    </xf>
    <xf numFmtId="0" fontId="34" fillId="8" borderId="32" xfId="0" applyFont="1" applyFill="1" applyBorder="1" applyAlignment="1">
      <alignment horizontal="center" vertical="top" wrapText="1"/>
    </xf>
    <xf numFmtId="0" fontId="34" fillId="8" borderId="33" xfId="0" applyFont="1" applyFill="1" applyBorder="1" applyAlignment="1">
      <alignment horizontal="center" vertical="top" wrapText="1"/>
    </xf>
    <xf numFmtId="0" fontId="34" fillId="6" borderId="31" xfId="0" applyFont="1" applyFill="1" applyBorder="1" applyAlignment="1">
      <alignment horizontal="center" vertical="top" wrapText="1"/>
    </xf>
    <xf numFmtId="0" fontId="34" fillId="6" borderId="32" xfId="0" applyFont="1" applyFill="1" applyBorder="1" applyAlignment="1">
      <alignment horizontal="center" vertical="top" wrapText="1"/>
    </xf>
    <xf numFmtId="0" fontId="34" fillId="6" borderId="33" xfId="0" applyFont="1" applyFill="1" applyBorder="1" applyAlignment="1">
      <alignment horizontal="center" vertical="top" wrapText="1"/>
    </xf>
    <xf numFmtId="0" fontId="34" fillId="13" borderId="31" xfId="0" applyFont="1" applyFill="1" applyBorder="1" applyAlignment="1">
      <alignment horizontal="center" vertical="center"/>
    </xf>
    <xf numFmtId="0" fontId="34" fillId="13" borderId="32" xfId="0" applyFont="1" applyFill="1" applyBorder="1" applyAlignment="1">
      <alignment horizontal="center" vertical="center"/>
    </xf>
    <xf numFmtId="0" fontId="34" fillId="13" borderId="73" xfId="0" applyFont="1" applyFill="1" applyBorder="1" applyAlignment="1">
      <alignment horizontal="center" vertical="center"/>
    </xf>
    <xf numFmtId="0" fontId="34" fillId="18" borderId="32" xfId="0" applyFont="1" applyFill="1" applyBorder="1" applyAlignment="1">
      <alignment horizontal="center" vertical="center"/>
    </xf>
    <xf numFmtId="0" fontId="34" fillId="18" borderId="33" xfId="0" applyFont="1" applyFill="1" applyBorder="1" applyAlignment="1">
      <alignment horizontal="center" vertical="center"/>
    </xf>
    <xf numFmtId="0" fontId="34" fillId="8" borderId="32" xfId="0" applyFont="1" applyFill="1" applyBorder="1" applyAlignment="1">
      <alignment horizontal="center" vertical="center"/>
    </xf>
    <xf numFmtId="0" fontId="34" fillId="8" borderId="33" xfId="0" applyFont="1" applyFill="1" applyBorder="1" applyAlignment="1">
      <alignment horizontal="center" vertical="center"/>
    </xf>
    <xf numFmtId="0" fontId="34" fillId="6" borderId="32" xfId="0" applyFont="1" applyFill="1" applyBorder="1" applyAlignment="1">
      <alignment horizontal="center" vertical="center"/>
    </xf>
    <xf numFmtId="0" fontId="34" fillId="6" borderId="33" xfId="0" applyFont="1" applyFill="1" applyBorder="1" applyAlignment="1">
      <alignment horizontal="center" vertical="center"/>
    </xf>
    <xf numFmtId="0" fontId="34" fillId="13" borderId="25" xfId="0" applyFont="1" applyFill="1" applyBorder="1" applyAlignment="1">
      <alignment horizontal="center" vertical="center"/>
    </xf>
    <xf numFmtId="0" fontId="34" fillId="13" borderId="23" xfId="0" applyFont="1" applyFill="1" applyBorder="1" applyAlignment="1">
      <alignment horizontal="center" vertical="center"/>
    </xf>
    <xf numFmtId="0" fontId="34" fillId="13" borderId="71" xfId="0" applyFont="1" applyFill="1" applyBorder="1" applyAlignment="1">
      <alignment horizontal="center" vertical="center"/>
    </xf>
    <xf numFmtId="0" fontId="34" fillId="18" borderId="31" xfId="0" applyFont="1" applyFill="1" applyBorder="1" applyAlignment="1">
      <alignment horizontal="center" vertical="top" wrapText="1"/>
    </xf>
    <xf numFmtId="0" fontId="34" fillId="18" borderId="32" xfId="0" applyFont="1" applyFill="1" applyBorder="1" applyAlignment="1">
      <alignment horizontal="center" vertical="top" wrapText="1"/>
    </xf>
    <xf numFmtId="0" fontId="34" fillId="18" borderId="33" xfId="0" applyFont="1" applyFill="1" applyBorder="1" applyAlignment="1">
      <alignment horizontal="center" vertical="top" wrapText="1"/>
    </xf>
    <xf numFmtId="0" fontId="31" fillId="13" borderId="27" xfId="0" applyFont="1" applyFill="1" applyBorder="1" applyAlignment="1">
      <alignment horizontal="left" vertical="center"/>
    </xf>
    <xf numFmtId="0" fontId="31" fillId="13" borderId="28" xfId="0" applyFont="1" applyFill="1" applyBorder="1" applyAlignment="1">
      <alignment horizontal="left" vertical="center"/>
    </xf>
    <xf numFmtId="0" fontId="31" fillId="13" borderId="29" xfId="0" applyFont="1" applyFill="1" applyBorder="1" applyAlignment="1">
      <alignment horizontal="left" vertical="center"/>
    </xf>
    <xf numFmtId="49" fontId="36" fillId="6" borderId="31" xfId="0" applyNumberFormat="1" applyFont="1" applyFill="1" applyBorder="1" applyAlignment="1">
      <alignment horizontal="center" vertical="center" wrapText="1"/>
    </xf>
    <xf numFmtId="49" fontId="36" fillId="6" borderId="32" xfId="0" applyNumberFormat="1" applyFont="1" applyFill="1" applyBorder="1" applyAlignment="1">
      <alignment horizontal="center" vertical="center" wrapText="1"/>
    </xf>
    <xf numFmtId="49" fontId="36" fillId="6" borderId="33" xfId="0" applyNumberFormat="1" applyFont="1" applyFill="1" applyBorder="1" applyAlignment="1">
      <alignment horizontal="center" vertical="center" wrapText="1"/>
    </xf>
    <xf numFmtId="49" fontId="36" fillId="22" borderId="72" xfId="0" applyNumberFormat="1" applyFont="1" applyFill="1" applyBorder="1" applyAlignment="1">
      <alignment horizontal="center" vertical="center" wrapText="1"/>
    </xf>
    <xf numFmtId="49" fontId="36" fillId="22" borderId="32" xfId="0" applyNumberFormat="1" applyFont="1" applyFill="1" applyBorder="1" applyAlignment="1">
      <alignment horizontal="center" vertical="center" wrapText="1"/>
    </xf>
    <xf numFmtId="49" fontId="36" fillId="22" borderId="73" xfId="0" applyNumberFormat="1" applyFont="1" applyFill="1" applyBorder="1" applyAlignment="1">
      <alignment horizontal="center" vertical="center" wrapText="1"/>
    </xf>
    <xf numFmtId="167" fontId="16" fillId="4" borderId="34" xfId="0" applyNumberFormat="1" applyFont="1" applyFill="1" applyBorder="1" applyAlignment="1">
      <alignment vertical="center"/>
    </xf>
    <xf numFmtId="0" fontId="37" fillId="3" borderId="0" xfId="0" applyFont="1" applyFill="1"/>
    <xf numFmtId="1" fontId="23" fillId="4" borderId="17" xfId="0" applyNumberFormat="1" applyFont="1" applyFill="1" applyBorder="1" applyAlignment="1">
      <alignment horizontal="center" vertical="center"/>
    </xf>
    <xf numFmtId="1" fontId="23" fillId="4" borderId="18" xfId="0" applyNumberFormat="1" applyFont="1" applyFill="1" applyBorder="1" applyAlignment="1">
      <alignment horizontal="center" vertical="center"/>
    </xf>
    <xf numFmtId="2" fontId="30" fillId="13" borderId="80" xfId="0" applyNumberFormat="1" applyFont="1" applyFill="1" applyBorder="1" applyAlignment="1">
      <alignment horizontal="center" vertical="center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523874</xdr:colOff>
      <xdr:row>98</xdr:row>
      <xdr:rowOff>293686</xdr:rowOff>
    </xdr:from>
    <xdr:to>
      <xdr:col>45</xdr:col>
      <xdr:colOff>254000</xdr:colOff>
      <xdr:row>101</xdr:row>
      <xdr:rowOff>198437</xdr:rowOff>
    </xdr:to>
    <xdr:sp macro="[1]!Assessment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36B0304-8B2B-464B-BCC5-19FB964796F2}"/>
            </a:ext>
          </a:extLst>
        </xdr:cNvPr>
        <xdr:cNvSpPr/>
      </xdr:nvSpPr>
      <xdr:spPr>
        <a:xfrm>
          <a:off x="35118674" y="56338786"/>
          <a:ext cx="3783966" cy="1184911"/>
        </a:xfrm>
        <a:prstGeom prst="roundRect">
          <a:avLst>
            <a:gd name="adj" fmla="val 31333"/>
          </a:avLst>
        </a:prstGeom>
        <a:solidFill>
          <a:srgbClr val="00B050"/>
        </a:solidFill>
        <a:ln>
          <a:solidFill>
            <a:srgbClr val="00B05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0" b="1" i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Assess</a:t>
          </a:r>
        </a:p>
      </xdr:txBody>
    </xdr:sp>
    <xdr:clientData/>
  </xdr:twoCellAnchor>
  <xdr:twoCellAnchor>
    <xdr:from>
      <xdr:col>23</xdr:col>
      <xdr:colOff>51287</xdr:colOff>
      <xdr:row>1</xdr:row>
      <xdr:rowOff>315057</xdr:rowOff>
    </xdr:from>
    <xdr:to>
      <xdr:col>27</xdr:col>
      <xdr:colOff>38059</xdr:colOff>
      <xdr:row>4</xdr:row>
      <xdr:rowOff>443663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95DB14B-97D8-4B03-A7C7-3F8999880E7E}"/>
            </a:ext>
          </a:extLst>
        </xdr:cNvPr>
        <xdr:cNvGrpSpPr/>
      </xdr:nvGrpSpPr>
      <xdr:grpSpPr>
        <a:xfrm>
          <a:off x="18853637" y="1077057"/>
          <a:ext cx="3796772" cy="1385906"/>
          <a:chOff x="17958287" y="1185914"/>
          <a:chExt cx="3783165" cy="143489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F274E1EE-B760-8621-89AD-3F1FD08BAFA8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colorTemperature colorTemp="4700"/>
                    </a14:imgEffect>
                    <a14:imgEffect>
                      <a14:saturation sat="4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1468" t="11681" r="11202" b="11463"/>
          <a:stretch>
            <a:fillRect/>
          </a:stretch>
        </xdr:blipFill>
        <xdr:spPr bwMode="auto">
          <a:xfrm>
            <a:off x="17958287" y="1185914"/>
            <a:ext cx="1300008" cy="1298960"/>
          </a:xfrm>
          <a:prstGeom prst="rect">
            <a:avLst/>
          </a:prstGeom>
          <a:noFill/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71042F99-CA20-25FA-EB5F-59304144874E}"/>
              </a:ext>
            </a:extLst>
          </xdr:cNvPr>
          <xdr:cNvSpPr/>
        </xdr:nvSpPr>
        <xdr:spPr>
          <a:xfrm>
            <a:off x="19188829" y="1755954"/>
            <a:ext cx="2552623" cy="864852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4800" b="0" i="0" cap="none" spc="0">
                <a:ln w="0"/>
                <a:solidFill>
                  <a:srgbClr val="3366FF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Mulish ExtraBlack" pitchFamily="2" charset="0"/>
              </a:rPr>
              <a:t>Refresh</a:t>
            </a:r>
          </a:p>
        </xdr:txBody>
      </xdr:sp>
    </xdr:grpSp>
    <xdr:clientData/>
  </xdr:twoCellAnchor>
  <xdr:twoCellAnchor>
    <xdr:from>
      <xdr:col>39</xdr:col>
      <xdr:colOff>152400</xdr:colOff>
      <xdr:row>0</xdr:row>
      <xdr:rowOff>152400</xdr:rowOff>
    </xdr:from>
    <xdr:to>
      <xdr:col>44</xdr:col>
      <xdr:colOff>2705100</xdr:colOff>
      <xdr:row>4</xdr:row>
      <xdr:rowOff>533400</xdr:rowOff>
    </xdr:to>
    <xdr:sp macro="[1]!GotoHI" textlink="">
      <xdr:nvSpPr>
        <xdr:cNvPr id="6" name="Rectangle 5">
          <a:extLst>
            <a:ext uri="{FF2B5EF4-FFF2-40B4-BE49-F238E27FC236}">
              <a16:creationId xmlns:a16="http://schemas.microsoft.com/office/drawing/2014/main" id="{F2DE587B-4F4C-4436-B603-0AB33B47FFEA}"/>
            </a:ext>
          </a:extLst>
        </xdr:cNvPr>
        <xdr:cNvSpPr/>
      </xdr:nvSpPr>
      <xdr:spPr>
        <a:xfrm>
          <a:off x="32895540" y="152400"/>
          <a:ext cx="5638800" cy="24307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lowgroup-my.sharepoint.com/personal/jirasak_s_gpscgroup_com/Documents/GPSC%20Group%20Transformer%20Assessment/Transformer%20Asset%20Managment%20GPSC%20GROUP%20Rev.25.xlsm" TargetMode="External"/><Relationship Id="rId1" Type="http://schemas.openxmlformats.org/officeDocument/2006/relationships/externalLinkPath" Target="https://glowgroup-my.sharepoint.com/personal/jirasak_s_gpscgroup_com/Documents/GPSC%20Group%20Transformer%20Assessment/Transformer%20Asset%20Managment%20GPSC%20GROUP%20Rev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lthIndexSum"/>
      <sheetName val="Health Index"/>
      <sheetName val="PF Test"/>
      <sheetName val="IRandPI Test"/>
      <sheetName val="BushingPF Test"/>
      <sheetName val="Surge Arrester Test"/>
      <sheetName val="Exciting Test"/>
      <sheetName val="Ratio Test"/>
      <sheetName val="Winding Test"/>
      <sheetName val="1 Ph. Short Circuit"/>
      <sheetName val="3 Ph. Short Circuit"/>
      <sheetName val="DGA"/>
      <sheetName val="OilProperties"/>
      <sheetName val="Tool (ห้ามลบ)"/>
      <sheetName val="OLTCOil"/>
      <sheetName val="Risk Assessment"/>
      <sheetName val="Evaluation"/>
      <sheetName val="Std.MTOil"/>
      <sheetName val="Std.OLTCOil"/>
      <sheetName val="Transformer List"/>
      <sheetName val="RiskAssessSum"/>
      <sheetName val="Expected Remaining Lifetime"/>
      <sheetName val="SingleLineCUP1"/>
      <sheetName val="SingleLineCUP2"/>
      <sheetName val="SingleLineCUP3"/>
      <sheetName val="SingleLineCUP4"/>
      <sheetName val="SingleLineGEN1"/>
      <sheetName val="SingleLineGEN2"/>
      <sheetName val="SAPorder"/>
      <sheetName val="FactoryData"/>
      <sheetName val="VisualData"/>
      <sheetName val="WindingPFData"/>
      <sheetName val="IRandPIData"/>
      <sheetName val="BushingPFData"/>
      <sheetName val="BushingInfo"/>
      <sheetName val="SurgePFData"/>
      <sheetName val="SurgeInfo"/>
      <sheetName val="ExcitingData"/>
      <sheetName val="RatioData"/>
      <sheetName val="WindingData"/>
      <sheetName val="SingleShortData"/>
      <sheetName val="ThreeShortData"/>
      <sheetName val="FRAData"/>
      <sheetName val="DFRData"/>
      <sheetName val="DRMData"/>
      <sheetName val="PDonlineData"/>
      <sheetName val="ThermoScanData"/>
      <sheetName val="TRinfo2"/>
      <sheetName val="TRHistory"/>
      <sheetName val="MTOilData"/>
      <sheetName val="OLTCOilData"/>
      <sheetName val="Oil Graph"/>
    </sheetNames>
    <definedNames>
      <definedName name="Assessment"/>
      <definedName name="GotoHI"/>
    </definedNames>
    <sheetDataSet>
      <sheetData sheetId="0" refreshError="1"/>
      <sheetData sheetId="1">
        <row r="7">
          <cell r="H7" t="str">
            <v>GTG42 GSUT</v>
          </cell>
        </row>
        <row r="8">
          <cell r="P8">
            <v>5.695652173913043</v>
          </cell>
          <cell r="Q8">
            <v>6.1739130434782687</v>
          </cell>
          <cell r="R8">
            <v>3.1250000000000147</v>
          </cell>
        </row>
        <row r="9">
          <cell r="P9">
            <v>0.83832335329341656</v>
          </cell>
          <cell r="Q9">
            <v>1.5060240963855422</v>
          </cell>
          <cell r="R9">
            <v>1.2499999999999967</v>
          </cell>
        </row>
        <row r="11">
          <cell r="P11" t="str">
            <v>-</v>
          </cell>
          <cell r="Q11" t="str">
            <v>-</v>
          </cell>
          <cell r="R11" t="str">
            <v>-</v>
          </cell>
        </row>
        <row r="12">
          <cell r="P12" t="str">
            <v>-</v>
          </cell>
          <cell r="Q12" t="str">
            <v>-</v>
          </cell>
          <cell r="R12" t="str">
            <v>-</v>
          </cell>
        </row>
        <row r="16"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AM16">
            <v>45936</v>
          </cell>
        </row>
        <row r="17"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</row>
        <row r="19">
          <cell r="P19" t="str">
            <v>-</v>
          </cell>
          <cell r="Q19" t="str">
            <v>-</v>
          </cell>
          <cell r="R19" t="str">
            <v>-</v>
          </cell>
        </row>
        <row r="20">
          <cell r="P20" t="str">
            <v>-</v>
          </cell>
          <cell r="Q20" t="str">
            <v>-</v>
          </cell>
          <cell r="R20" t="str">
            <v>-</v>
          </cell>
        </row>
        <row r="25">
          <cell r="Q25">
            <v>46029</v>
          </cell>
        </row>
        <row r="29">
          <cell r="Q29">
            <v>46029</v>
          </cell>
        </row>
        <row r="31">
          <cell r="Q31">
            <v>46029</v>
          </cell>
        </row>
        <row r="34">
          <cell r="Q34">
            <v>46029</v>
          </cell>
        </row>
        <row r="37">
          <cell r="Q37">
            <v>46029</v>
          </cell>
        </row>
        <row r="40">
          <cell r="Q40">
            <v>46029</v>
          </cell>
          <cell r="AM40">
            <v>45936</v>
          </cell>
        </row>
        <row r="41">
          <cell r="Q41">
            <v>46029</v>
          </cell>
        </row>
        <row r="43">
          <cell r="AK43">
            <v>49.1</v>
          </cell>
          <cell r="AL43" t="str">
            <v>-</v>
          </cell>
          <cell r="AM43">
            <v>49.1</v>
          </cell>
        </row>
        <row r="44">
          <cell r="AK44">
            <v>14.1</v>
          </cell>
          <cell r="AL44" t="str">
            <v>-</v>
          </cell>
          <cell r="AM44">
            <v>14.1</v>
          </cell>
        </row>
      </sheetData>
      <sheetData sheetId="2" refreshError="1"/>
      <sheetData sheetId="3" refreshError="1"/>
      <sheetData sheetId="4">
        <row r="19">
          <cell r="B19" t="str">
            <v>TRENCH</v>
          </cell>
          <cell r="G19" t="str">
            <v>OIP</v>
          </cell>
        </row>
      </sheetData>
      <sheetData sheetId="5">
        <row r="33">
          <cell r="K33" t="str">
            <v>123000</v>
          </cell>
        </row>
        <row r="34">
          <cell r="K34" t="str">
            <v>142000</v>
          </cell>
        </row>
        <row r="35">
          <cell r="K35" t="str">
            <v/>
          </cell>
        </row>
      </sheetData>
      <sheetData sheetId="6">
        <row r="79">
          <cell r="B79">
            <v>46029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>
        <row r="33">
          <cell r="AP33">
            <v>40</v>
          </cell>
          <cell r="AR33">
            <v>47</v>
          </cell>
          <cell r="AT33">
            <v>50</v>
          </cell>
          <cell r="AY33">
            <v>45</v>
          </cell>
          <cell r="BB33">
            <v>52</v>
          </cell>
          <cell r="BE33">
            <v>55</v>
          </cell>
        </row>
        <row r="35">
          <cell r="AY35">
            <v>2</v>
          </cell>
          <cell r="BA35">
            <v>3</v>
          </cell>
        </row>
        <row r="36">
          <cell r="AY36" t="str">
            <v>-</v>
          </cell>
          <cell r="BA36" t="str">
            <v>-</v>
          </cell>
        </row>
        <row r="37">
          <cell r="AY37" t="str">
            <v>-</v>
          </cell>
          <cell r="BA37" t="str">
            <v>-</v>
          </cell>
        </row>
        <row r="38">
          <cell r="AY38">
            <v>300</v>
          </cell>
          <cell r="BA38">
            <v>400</v>
          </cell>
          <cell r="BB38">
            <v>150</v>
          </cell>
          <cell r="BD38">
            <v>200</v>
          </cell>
          <cell r="BE38">
            <v>100</v>
          </cell>
          <cell r="BG38">
            <v>150</v>
          </cell>
        </row>
        <row r="42">
          <cell r="AY42" t="str">
            <v>-</v>
          </cell>
          <cell r="BA42" t="str">
            <v>-</v>
          </cell>
          <cell r="BB42" t="str">
            <v>-</v>
          </cell>
          <cell r="BD42" t="str">
            <v>-</v>
          </cell>
          <cell r="BE42" t="str">
            <v>-</v>
          </cell>
          <cell r="BG42" t="str">
            <v>-</v>
          </cell>
        </row>
        <row r="43">
          <cell r="AY43">
            <v>0.2</v>
          </cell>
          <cell r="BA43">
            <v>0.3</v>
          </cell>
        </row>
        <row r="44">
          <cell r="AY44" t="str">
            <v>-</v>
          </cell>
          <cell r="BA44" t="str">
            <v>-</v>
          </cell>
        </row>
        <row r="46">
          <cell r="AY46" t="str">
            <v>-</v>
          </cell>
          <cell r="BA46" t="str">
            <v>-</v>
          </cell>
        </row>
        <row r="49">
          <cell r="Q49">
            <v>45</v>
          </cell>
          <cell r="S49">
            <v>40</v>
          </cell>
          <cell r="T49">
            <v>52</v>
          </cell>
          <cell r="V49">
            <v>47</v>
          </cell>
          <cell r="W49">
            <v>55</v>
          </cell>
          <cell r="Y49">
            <v>50</v>
          </cell>
        </row>
        <row r="51">
          <cell r="Q51">
            <v>0.4</v>
          </cell>
          <cell r="S51">
            <v>0.5</v>
          </cell>
        </row>
        <row r="52">
          <cell r="Q52">
            <v>4</v>
          </cell>
          <cell r="S52">
            <v>5</v>
          </cell>
        </row>
        <row r="53">
          <cell r="Q53">
            <v>4</v>
          </cell>
          <cell r="S53">
            <v>5</v>
          </cell>
        </row>
        <row r="54">
          <cell r="Q54">
            <v>30</v>
          </cell>
          <cell r="S54">
            <v>35</v>
          </cell>
          <cell r="T54">
            <v>20</v>
          </cell>
          <cell r="V54">
            <v>25</v>
          </cell>
          <cell r="W54">
            <v>15</v>
          </cell>
          <cell r="Y54">
            <v>20</v>
          </cell>
        </row>
        <row r="58">
          <cell r="Q58">
            <v>28</v>
          </cell>
          <cell r="S58">
            <v>25</v>
          </cell>
          <cell r="T58">
            <v>33</v>
          </cell>
          <cell r="V58">
            <v>30</v>
          </cell>
          <cell r="W58">
            <v>35</v>
          </cell>
          <cell r="Y58">
            <v>32</v>
          </cell>
        </row>
        <row r="59">
          <cell r="Q59">
            <v>0.17</v>
          </cell>
          <cell r="S59">
            <v>0.2</v>
          </cell>
          <cell r="T59">
            <v>0.12</v>
          </cell>
          <cell r="V59">
            <v>0.15</v>
          </cell>
          <cell r="W59">
            <v>7.0000000000000007E-2</v>
          </cell>
          <cell r="Y59">
            <v>0.1</v>
          </cell>
        </row>
        <row r="60">
          <cell r="Q60" t="str">
            <v>3a</v>
          </cell>
          <cell r="S60" t="str">
            <v>4a</v>
          </cell>
        </row>
        <row r="62">
          <cell r="Q62">
            <v>1.7999999999999999E-2</v>
          </cell>
          <cell r="S62">
            <v>0.02</v>
          </cell>
        </row>
        <row r="64">
          <cell r="Q64">
            <v>100</v>
          </cell>
          <cell r="S64">
            <v>250</v>
          </cell>
        </row>
        <row r="65">
          <cell r="Q65">
            <v>700</v>
          </cell>
          <cell r="S65">
            <v>450</v>
          </cell>
        </row>
      </sheetData>
      <sheetData sheetId="18">
        <row r="50">
          <cell r="I50">
            <v>30</v>
          </cell>
        </row>
        <row r="51">
          <cell r="I51">
            <v>40</v>
          </cell>
        </row>
        <row r="52">
          <cell r="I52">
            <v>40</v>
          </cell>
        </row>
        <row r="53">
          <cell r="H53">
            <v>30</v>
          </cell>
          <cell r="J53">
            <v>25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6DCC-91C1-4523-852C-BB553B169206}">
  <sheetPr codeName="Sheet47">
    <tabColor rgb="FFFF0000"/>
    <pageSetUpPr fitToPage="1"/>
  </sheetPr>
  <dimension ref="A1:DJ152"/>
  <sheetViews>
    <sheetView tabSelected="1" zoomScale="40" zoomScaleNormal="40" workbookViewId="0">
      <selection activeCell="AS12" sqref="AS12"/>
    </sheetView>
  </sheetViews>
  <sheetFormatPr defaultColWidth="9" defaultRowHeight="33.6"/>
  <cols>
    <col min="1" max="6" width="9" style="1009"/>
    <col min="7" max="7" width="9" style="1009" customWidth="1"/>
    <col min="8" max="8" width="11.109375" style="1009" customWidth="1"/>
    <col min="9" max="9" width="15.109375" style="1009" customWidth="1"/>
    <col min="10" max="10" width="9.88671875" style="1009" customWidth="1"/>
    <col min="11" max="12" width="9" style="1009" customWidth="1"/>
    <col min="13" max="13" width="10.109375" style="1009" customWidth="1"/>
    <col min="14" max="14" width="13.109375" style="1009" customWidth="1"/>
    <col min="15" max="15" width="19" style="1009" customWidth="1"/>
    <col min="16" max="16" width="18.109375" style="1009" customWidth="1"/>
    <col min="17" max="17" width="28" style="1009" customWidth="1"/>
    <col min="18" max="20" width="16.109375" style="1009" customWidth="1"/>
    <col min="21" max="23" width="7.109375" style="1009" customWidth="1"/>
    <col min="24" max="26" width="16.109375" style="1009" customWidth="1"/>
    <col min="27" max="29" width="7.109375" style="1009" customWidth="1"/>
    <col min="30" max="32" width="16.109375" style="1009" customWidth="1"/>
    <col min="33" max="35" width="9" style="1009" customWidth="1"/>
    <col min="36" max="38" width="16.109375" style="1009" customWidth="1"/>
    <col min="39" max="39" width="9" style="1009"/>
    <col min="40" max="40" width="9" style="1009" customWidth="1"/>
    <col min="41" max="44" width="9" style="1009"/>
    <col min="45" max="45" width="41.109375" style="1009" customWidth="1"/>
    <col min="46" max="46" width="9" style="6" customWidth="1"/>
    <col min="47" max="47" width="19.109375" style="7" bestFit="1" customWidth="1"/>
    <col min="48" max="54" width="9" style="6"/>
    <col min="55" max="55" width="9" style="1005"/>
    <col min="56" max="114" width="9" style="6"/>
    <col min="115" max="16384" width="9" style="1009"/>
  </cols>
  <sheetData>
    <row r="1" spans="1:47" ht="6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4" t="e" vm="1">
        <v>#VALUE!</v>
      </c>
      <c r="AO1" s="4"/>
      <c r="AP1" s="4"/>
      <c r="AQ1" s="4"/>
      <c r="AR1" s="4"/>
      <c r="AS1" s="5"/>
    </row>
    <row r="2" spans="1:47">
      <c r="A2" s="8" t="s">
        <v>0</v>
      </c>
      <c r="B2" s="9"/>
      <c r="C2" s="10" t="str">
        <f>'[1]Health Index'!$H$7</f>
        <v>GTG42 GSUT</v>
      </c>
      <c r="D2" s="10"/>
      <c r="E2" s="10"/>
      <c r="F2" s="10"/>
      <c r="G2" s="10"/>
      <c r="H2" s="9" t="s">
        <v>1</v>
      </c>
      <c r="I2" s="9"/>
      <c r="J2" s="11" t="str">
        <f>_xlfn.XLOOKUP($C$2,[1]!TRinfo2[LOCAL_EQUIPMENT_CODE],[1]!TRinfo2[BRAND],,0,1)</f>
        <v>TIRATHAI</v>
      </c>
      <c r="K2" s="12"/>
      <c r="L2" s="12"/>
      <c r="M2" s="9" t="s">
        <v>2</v>
      </c>
      <c r="N2" s="9"/>
      <c r="O2" s="13">
        <f>_xlfn.XLOOKUP($C$2,[1]!TRinfo2[LOCAL_EQUIPMENT_CODE],[1]!TRinfo2[POWER_RATING],,0,1)/1000</f>
        <v>65</v>
      </c>
      <c r="P2" s="14" t="s">
        <v>3</v>
      </c>
      <c r="Q2" s="14" t="str">
        <f>_xlfn.XLOOKUP($C$2,[1]!TRinfo2[LOCAL_EQUIPMENT_CODE],[1]!TRinfo2[TAP_CHANGER_TYPE],,0,1)</f>
        <v>OLTC1</v>
      </c>
      <c r="R2" s="12"/>
      <c r="S2" s="9" t="s">
        <v>4</v>
      </c>
      <c r="T2" s="9"/>
      <c r="U2" s="11" t="str">
        <f>VLOOKUP(C3,[1]!TRinfo2[#Data],23,FALSE)</f>
        <v>YNd11</v>
      </c>
      <c r="V2" s="9"/>
      <c r="W2" s="9"/>
      <c r="X2" s="11"/>
      <c r="Y2" s="11"/>
      <c r="Z2" s="11"/>
      <c r="AA2" s="11"/>
      <c r="AB2" s="11"/>
      <c r="AC2" s="11"/>
      <c r="AD2" s="12"/>
      <c r="AE2" s="15"/>
      <c r="AF2" s="15"/>
      <c r="AG2" s="15"/>
      <c r="AH2" s="15"/>
      <c r="AI2" s="15"/>
      <c r="AJ2" s="15"/>
      <c r="AK2" s="15"/>
      <c r="AL2" s="15"/>
      <c r="AM2" s="16"/>
      <c r="AN2" s="17"/>
      <c r="AO2" s="17"/>
      <c r="AP2" s="17"/>
      <c r="AQ2" s="17"/>
      <c r="AR2" s="17"/>
      <c r="AS2" s="18"/>
    </row>
    <row r="3" spans="1:47">
      <c r="A3" s="19" t="s">
        <v>5</v>
      </c>
      <c r="B3" s="9"/>
      <c r="C3" s="12" t="str">
        <f>_xlfn.XLOOKUP(C2,[1]!TRinfo2[LOCAL_EQUIPMENT_CODE],[1]!TRinfo2[SERIAL_NUMBER],,0,1)</f>
        <v>6310535</v>
      </c>
      <c r="D3" s="12"/>
      <c r="E3" s="12"/>
      <c r="F3" s="12"/>
      <c r="G3" s="12"/>
      <c r="H3" s="9" t="s">
        <v>6</v>
      </c>
      <c r="I3" s="9"/>
      <c r="J3" s="11" t="str">
        <f>_xlfn.XLOOKUP($C$2,[1]!TRinfo2[LOCAL_EQUIPMENT_CODE],[1]!TRinfo2[TYPE_OF_INSULATION],,0,1)</f>
        <v>Mineral Oil</v>
      </c>
      <c r="K3" s="11"/>
      <c r="L3" s="11"/>
      <c r="M3" s="9" t="s">
        <v>7</v>
      </c>
      <c r="N3" s="9"/>
      <c r="O3" s="20">
        <f>_xlfn.XLOOKUP($C$2,[1]!TRinfo2[LOCAL_EQUIPMENT_CODE],[1]!TRinfo2[HV_RATED],,0,1)</f>
        <v>120</v>
      </c>
      <c r="P3" s="14" t="str">
        <f>"/"&amp;_xlfn.XLOOKUP($C$2,[1]!TRinfo2[LOCAL_EQUIPMENT_CODE],[1]!TRinfo2[LV_RATED],,0,1)</f>
        <v>/11</v>
      </c>
      <c r="Q3" s="14" t="str">
        <f>IF(_xlfn.XLOOKUP($C$2,[1]!TRinfo2[LOCAL_EQUIPMENT_CODE],[1]!TRinfo2[LV2_RATED],,0,1)=0,"","/"&amp;_xlfn.XLOOKUP($C$2,[1]!TRinfo2[LOCAL_EQUIPMENT_CODE],[1]!TRinfo2[LV2_RATED],,0,1))&amp;" kV"</f>
        <v xml:space="preserve"> kV</v>
      </c>
      <c r="R3" s="21" t="str">
        <f>O3&amp;P3&amp;Q3</f>
        <v>120/11 kV</v>
      </c>
      <c r="S3" s="9" t="s">
        <v>8</v>
      </c>
      <c r="T3" s="22"/>
      <c r="U3" s="12">
        <f>IFERROR(_xlfn.XLOOKUP($C$3,[1]!TRinfo2[SERIAL_NUMBER],[1]!TRinfo2[NO_WINDING],,0,1),"-")</f>
        <v>2</v>
      </c>
      <c r="V3" s="22"/>
      <c r="W3" s="22"/>
      <c r="X3"/>
      <c r="Y3" s="22"/>
      <c r="Z3"/>
      <c r="AA3" s="22"/>
      <c r="AB3" s="22"/>
      <c r="AC3" s="22"/>
      <c r="AD3" s="22"/>
      <c r="AE3" s="15"/>
      <c r="AF3" s="15"/>
      <c r="AG3" s="15"/>
      <c r="AH3" s="15"/>
      <c r="AI3" s="15"/>
      <c r="AJ3" s="15"/>
      <c r="AK3" s="15"/>
      <c r="AL3" s="15"/>
      <c r="AM3" s="16"/>
      <c r="AN3" s="17"/>
      <c r="AO3" s="17"/>
      <c r="AP3" s="17"/>
      <c r="AQ3" s="17"/>
      <c r="AR3" s="17"/>
      <c r="AS3" s="18"/>
    </row>
    <row r="4" spans="1:47">
      <c r="A4" s="19" t="s">
        <v>9</v>
      </c>
      <c r="B4" s="9"/>
      <c r="C4" s="23" t="str">
        <f>_xlfn.XLOOKUP(C2,[1]!TRinfo2[LOCAL_EQUIPMENT_CODE],[1]!TRinfo2[DEVICE_CODE],,0,1)</f>
        <v>42BAT10</v>
      </c>
      <c r="D4" s="23"/>
      <c r="E4" s="23"/>
      <c r="F4" s="23"/>
      <c r="G4" s="23"/>
      <c r="H4" s="9" t="s">
        <v>10</v>
      </c>
      <c r="I4" s="9"/>
      <c r="J4" s="11" t="str">
        <f>_xlfn.XLOOKUP($C$2,[1]!TRinfo2[LOCAL_EQUIPMENT_CODE],[1]!TRinfo2[SITE],,0,1)</f>
        <v>SITE2</v>
      </c>
      <c r="K4" s="11"/>
      <c r="L4" s="11"/>
      <c r="M4" s="9" t="s">
        <v>11</v>
      </c>
      <c r="N4" s="9"/>
      <c r="O4" s="12" t="str">
        <f>_xlfn.XLOOKUP($C$2,[1]!TRinfo2[LOCAL_EQUIPMENT_CODE],[1]!TRinfo2[Service_Type],,0,1)</f>
        <v>GSUT</v>
      </c>
      <c r="P4" s="12"/>
      <c r="Q4" s="12"/>
      <c r="R4" s="12"/>
      <c r="S4" s="9" t="s">
        <v>12</v>
      </c>
      <c r="T4" s="22"/>
      <c r="U4" s="12">
        <f ca="1">(YEAR(TODAY())-YEAR(_xlfn.XLOOKUP(C2,[1]!TRinfo2[LOCAL_EQUIPMENT_CODE],[1]!TRinfo2[MANUFACTURING_DATE],,0,1)))</f>
        <v>5</v>
      </c>
      <c r="V4" s="22"/>
      <c r="W4" s="22"/>
      <c r="X4" s="22"/>
      <c r="Y4" s="22"/>
      <c r="Z4" s="22"/>
      <c r="AA4" s="22"/>
      <c r="AB4" s="22"/>
      <c r="AC4" s="22"/>
      <c r="AD4" s="22"/>
      <c r="AE4" s="15"/>
      <c r="AF4" s="15"/>
      <c r="AG4" s="15"/>
      <c r="AH4" s="15"/>
      <c r="AI4" s="24"/>
      <c r="AJ4" s="24" t="s">
        <v>13</v>
      </c>
      <c r="AK4" s="25">
        <f ca="1">TODAY()</f>
        <v>46236</v>
      </c>
      <c r="AL4" s="25"/>
      <c r="AM4" s="16"/>
      <c r="AN4" s="17"/>
      <c r="AO4" s="17"/>
      <c r="AP4" s="17"/>
      <c r="AQ4" s="17"/>
      <c r="AR4" s="17"/>
      <c r="AS4" s="18"/>
    </row>
    <row r="5" spans="1:47" ht="54" thickBot="1">
      <c r="A5" s="26" t="s">
        <v>14</v>
      </c>
      <c r="B5" s="27"/>
      <c r="C5" s="27"/>
      <c r="D5" s="27"/>
      <c r="E5" s="27"/>
      <c r="F5" s="27"/>
      <c r="G5" s="27"/>
      <c r="H5" s="28"/>
      <c r="I5" s="28"/>
      <c r="J5" s="29"/>
      <c r="K5" s="29"/>
      <c r="L5" s="30"/>
      <c r="M5" s="31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31"/>
      <c r="AN5" s="32"/>
      <c r="AO5" s="32"/>
      <c r="AP5" s="32"/>
      <c r="AQ5" s="32"/>
      <c r="AR5" s="32"/>
      <c r="AS5" s="33"/>
    </row>
    <row r="6" spans="1:47" ht="42">
      <c r="A6" s="34" t="s">
        <v>15</v>
      </c>
      <c r="B6" s="35"/>
      <c r="C6" s="35"/>
      <c r="D6" s="35"/>
      <c r="E6" s="35"/>
      <c r="F6" s="35"/>
      <c r="G6" s="35"/>
      <c r="H6" s="35"/>
      <c r="I6" s="36"/>
      <c r="J6" s="37" t="s">
        <v>16</v>
      </c>
      <c r="K6" s="35"/>
      <c r="L6" s="35"/>
      <c r="M6" s="35"/>
      <c r="N6" s="35"/>
      <c r="O6" s="36"/>
      <c r="P6" s="35" t="s">
        <v>17</v>
      </c>
      <c r="Q6" s="36"/>
      <c r="R6" s="38" t="s">
        <v>18</v>
      </c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40"/>
      <c r="AG6" s="37" t="s">
        <v>19</v>
      </c>
      <c r="AH6" s="35"/>
      <c r="AI6" s="36"/>
      <c r="AJ6" s="38" t="s">
        <v>20</v>
      </c>
      <c r="AK6" s="39"/>
      <c r="AL6" s="40"/>
      <c r="AM6" s="38" t="s">
        <v>21</v>
      </c>
      <c r="AN6" s="39"/>
      <c r="AO6" s="40"/>
      <c r="AP6" s="37" t="s">
        <v>22</v>
      </c>
      <c r="AQ6" s="35"/>
      <c r="AR6" s="36"/>
      <c r="AS6" s="41" t="s">
        <v>23</v>
      </c>
    </row>
    <row r="7" spans="1:47" ht="42.6" thickBot="1">
      <c r="A7" s="42"/>
      <c r="B7" s="43"/>
      <c r="C7" s="43"/>
      <c r="D7" s="43"/>
      <c r="E7" s="43"/>
      <c r="F7" s="43"/>
      <c r="G7" s="43"/>
      <c r="H7" s="43"/>
      <c r="I7" s="44"/>
      <c r="J7" s="45"/>
      <c r="K7" s="43"/>
      <c r="L7" s="43"/>
      <c r="M7" s="43"/>
      <c r="N7" s="43"/>
      <c r="O7" s="44"/>
      <c r="P7" s="43"/>
      <c r="Q7" s="44"/>
      <c r="R7" s="46"/>
      <c r="S7" s="47">
        <v>1</v>
      </c>
      <c r="T7" s="48"/>
      <c r="U7" s="49"/>
      <c r="V7" s="50">
        <v>2</v>
      </c>
      <c r="W7" s="49"/>
      <c r="X7" s="51"/>
      <c r="Y7" s="52">
        <v>3</v>
      </c>
      <c r="Z7" s="53"/>
      <c r="AA7" s="54"/>
      <c r="AB7" s="55">
        <v>4</v>
      </c>
      <c r="AC7" s="54"/>
      <c r="AD7" s="56"/>
      <c r="AE7" s="57">
        <v>5</v>
      </c>
      <c r="AF7" s="58"/>
      <c r="AG7" s="59" t="s">
        <v>24</v>
      </c>
      <c r="AH7" s="60" t="s">
        <v>25</v>
      </c>
      <c r="AI7" s="61" t="s">
        <v>26</v>
      </c>
      <c r="AJ7" s="62" t="s">
        <v>27</v>
      </c>
      <c r="AK7" s="62" t="s">
        <v>28</v>
      </c>
      <c r="AL7" s="62" t="s">
        <v>29</v>
      </c>
      <c r="AM7" s="62" t="s">
        <v>27</v>
      </c>
      <c r="AN7" s="62" t="s">
        <v>28</v>
      </c>
      <c r="AO7" s="61" t="s">
        <v>29</v>
      </c>
      <c r="AP7" s="45"/>
      <c r="AQ7" s="43"/>
      <c r="AR7" s="44"/>
      <c r="AS7" s="63" t="s">
        <v>30</v>
      </c>
    </row>
    <row r="8" spans="1:47" ht="42">
      <c r="A8" s="64" t="s">
        <v>31</v>
      </c>
      <c r="B8" s="65"/>
      <c r="C8" s="65"/>
      <c r="D8" s="65"/>
      <c r="E8" s="65"/>
      <c r="F8" s="65"/>
      <c r="G8" s="65"/>
      <c r="H8" s="65"/>
      <c r="I8" s="66"/>
      <c r="J8" s="67"/>
      <c r="K8" s="68"/>
      <c r="L8" s="68"/>
      <c r="M8" s="68"/>
      <c r="N8" s="68"/>
      <c r="O8" s="68"/>
      <c r="P8" s="68"/>
      <c r="Q8" s="69"/>
      <c r="R8" s="70"/>
      <c r="S8" s="71"/>
      <c r="T8" s="72"/>
      <c r="U8" s="73"/>
      <c r="V8" s="73"/>
      <c r="W8" s="73"/>
      <c r="X8" s="74"/>
      <c r="Y8" s="75"/>
      <c r="Z8" s="76"/>
      <c r="AA8" s="77"/>
      <c r="AB8" s="77"/>
      <c r="AC8" s="77"/>
      <c r="AD8" s="78"/>
      <c r="AE8" s="79"/>
      <c r="AF8" s="80"/>
      <c r="AG8" s="81"/>
      <c r="AH8" s="82"/>
      <c r="AI8" s="83"/>
      <c r="AJ8" s="67"/>
      <c r="AK8" s="68"/>
      <c r="AL8" s="69"/>
      <c r="AM8" s="84"/>
      <c r="AN8" s="82"/>
      <c r="AO8" s="83"/>
      <c r="AP8" s="84"/>
      <c r="AQ8" s="82"/>
      <c r="AR8" s="83"/>
      <c r="AS8" s="85"/>
    </row>
    <row r="9" spans="1:47" ht="33.75" customHeight="1">
      <c r="A9" s="86" t="s">
        <v>32</v>
      </c>
      <c r="B9" s="87"/>
      <c r="C9" s="87"/>
      <c r="D9" s="87"/>
      <c r="E9" s="87"/>
      <c r="F9" s="87"/>
      <c r="G9" s="87"/>
      <c r="H9" s="87"/>
      <c r="I9" s="88"/>
      <c r="J9" s="89" t="s">
        <v>33</v>
      </c>
      <c r="K9" s="90"/>
      <c r="L9" s="90"/>
      <c r="M9" s="90"/>
      <c r="N9" s="90"/>
      <c r="O9" s="91"/>
      <c r="P9" s="89" t="s">
        <v>34</v>
      </c>
      <c r="Q9" s="91"/>
      <c r="R9" s="92"/>
      <c r="S9" s="93" t="s">
        <v>35</v>
      </c>
      <c r="T9" s="94">
        <v>10</v>
      </c>
      <c r="U9" s="95">
        <v>10</v>
      </c>
      <c r="V9" s="95" t="s">
        <v>36</v>
      </c>
      <c r="W9" s="95">
        <v>40</v>
      </c>
      <c r="X9" s="96">
        <v>40</v>
      </c>
      <c r="Y9" s="97" t="s">
        <v>36</v>
      </c>
      <c r="Z9" s="98">
        <v>70</v>
      </c>
      <c r="AA9" s="99">
        <v>70</v>
      </c>
      <c r="AB9" s="99" t="s">
        <v>36</v>
      </c>
      <c r="AC9" s="99">
        <v>100</v>
      </c>
      <c r="AD9" s="100"/>
      <c r="AE9" s="101" t="s">
        <v>37</v>
      </c>
      <c r="AF9" s="102">
        <v>100</v>
      </c>
      <c r="AG9" s="103">
        <f>'[1]Health Index'!Q29</f>
        <v>46029</v>
      </c>
      <c r="AH9" s="104"/>
      <c r="AI9" s="105"/>
      <c r="AJ9" s="106"/>
      <c r="AK9" s="107"/>
      <c r="AL9" s="108"/>
      <c r="AM9" s="109"/>
      <c r="AN9" s="110"/>
      <c r="AO9" s="111"/>
      <c r="AP9" s="112">
        <v>5</v>
      </c>
      <c r="AQ9" s="113"/>
      <c r="AR9" s="114"/>
      <c r="AS9" s="115">
        <f>MIN(AM9:AO11)*AP9</f>
        <v>0</v>
      </c>
      <c r="AU9" s="116"/>
    </row>
    <row r="10" spans="1:47" ht="33.75" customHeight="1">
      <c r="A10" s="86" t="s">
        <v>38</v>
      </c>
      <c r="B10" s="87"/>
      <c r="C10" s="87"/>
      <c r="D10" s="87"/>
      <c r="E10" s="87"/>
      <c r="F10" s="87"/>
      <c r="G10" s="87"/>
      <c r="H10" s="87"/>
      <c r="I10" s="88"/>
      <c r="J10" s="117"/>
      <c r="K10" s="118"/>
      <c r="L10" s="118"/>
      <c r="M10" s="118"/>
      <c r="N10" s="118"/>
      <c r="O10" s="119"/>
      <c r="P10" s="117"/>
      <c r="Q10" s="119"/>
      <c r="R10" s="120"/>
      <c r="S10" s="71" t="s">
        <v>35</v>
      </c>
      <c r="T10" s="121">
        <f>T9</f>
        <v>10</v>
      </c>
      <c r="U10" s="95">
        <v>10</v>
      </c>
      <c r="V10" s="95" t="s">
        <v>36</v>
      </c>
      <c r="W10" s="95">
        <f>W9</f>
        <v>40</v>
      </c>
      <c r="X10" s="96">
        <f>X9</f>
        <v>40</v>
      </c>
      <c r="Y10" s="122" t="s">
        <v>36</v>
      </c>
      <c r="Z10" s="98">
        <f>Z9</f>
        <v>70</v>
      </c>
      <c r="AA10" s="123">
        <f>AA9</f>
        <v>70</v>
      </c>
      <c r="AB10" s="123" t="s">
        <v>36</v>
      </c>
      <c r="AC10" s="123">
        <f>AC9</f>
        <v>100</v>
      </c>
      <c r="AD10" s="124"/>
      <c r="AE10" s="79" t="s">
        <v>37</v>
      </c>
      <c r="AF10" s="125">
        <f>AF9</f>
        <v>100</v>
      </c>
      <c r="AG10" s="126"/>
      <c r="AH10" s="127"/>
      <c r="AI10" s="128"/>
      <c r="AJ10" s="129"/>
      <c r="AK10" s="130"/>
      <c r="AL10" s="131"/>
      <c r="AM10" s="109"/>
      <c r="AN10" s="110"/>
      <c r="AO10" s="111"/>
      <c r="AP10" s="132"/>
      <c r="AQ10" s="133"/>
      <c r="AR10" s="134"/>
      <c r="AS10" s="135"/>
      <c r="AU10" s="136" t="str" cm="1">
        <f t="array" ref="AU10">_xlfn.IFS(MIN($AM$9:$AO$11)&gt;3,"A",MIN($AM$9:$AO$11)=3,"Q",MIN($AM$9:$AO$11)&lt;3,"U")</f>
        <v>U</v>
      </c>
    </row>
    <row r="11" spans="1:47" ht="34.5" customHeight="1" thickBot="1">
      <c r="A11" s="86" t="s">
        <v>39</v>
      </c>
      <c r="B11" s="87"/>
      <c r="C11" s="87"/>
      <c r="D11" s="87"/>
      <c r="E11" s="87"/>
      <c r="F11" s="87"/>
      <c r="G11" s="87"/>
      <c r="H11" s="87"/>
      <c r="I11" s="88"/>
      <c r="J11" s="137"/>
      <c r="K11" s="138"/>
      <c r="L11" s="138"/>
      <c r="M11" s="138"/>
      <c r="N11" s="138"/>
      <c r="O11" s="139"/>
      <c r="P11" s="137"/>
      <c r="Q11" s="139"/>
      <c r="R11" s="140"/>
      <c r="S11" s="141" t="s">
        <v>35</v>
      </c>
      <c r="T11" s="142">
        <f>T9</f>
        <v>10</v>
      </c>
      <c r="U11" s="95">
        <v>10</v>
      </c>
      <c r="V11" s="95" t="s">
        <v>36</v>
      </c>
      <c r="W11" s="95">
        <f>W9</f>
        <v>40</v>
      </c>
      <c r="X11" s="96">
        <f>X9</f>
        <v>40</v>
      </c>
      <c r="Y11" s="143" t="s">
        <v>36</v>
      </c>
      <c r="Z11" s="98">
        <f>Z9</f>
        <v>70</v>
      </c>
      <c r="AA11" s="144">
        <f>AA9</f>
        <v>70</v>
      </c>
      <c r="AB11" s="144" t="s">
        <v>36</v>
      </c>
      <c r="AC11" s="144">
        <f>AC9</f>
        <v>100</v>
      </c>
      <c r="AD11" s="145"/>
      <c r="AE11" s="146" t="s">
        <v>37</v>
      </c>
      <c r="AF11" s="147">
        <f>AF9</f>
        <v>100</v>
      </c>
      <c r="AG11" s="148"/>
      <c r="AH11" s="149"/>
      <c r="AI11" s="150"/>
      <c r="AJ11" s="151"/>
      <c r="AK11" s="152"/>
      <c r="AL11" s="153"/>
      <c r="AM11" s="109"/>
      <c r="AN11" s="110"/>
      <c r="AO11" s="111"/>
      <c r="AP11" s="154"/>
      <c r="AQ11" s="155"/>
      <c r="AR11" s="156"/>
      <c r="AS11" s="157"/>
      <c r="AU11" s="136"/>
    </row>
    <row r="12" spans="1:47" ht="42">
      <c r="A12" s="158" t="s">
        <v>40</v>
      </c>
      <c r="B12" s="159"/>
      <c r="C12" s="159"/>
      <c r="D12" s="159"/>
      <c r="E12" s="159"/>
      <c r="F12" s="159"/>
      <c r="G12" s="159"/>
      <c r="H12" s="159"/>
      <c r="I12" s="160"/>
      <c r="J12" s="161"/>
      <c r="K12" s="162"/>
      <c r="L12" s="162"/>
      <c r="M12" s="162"/>
      <c r="N12" s="162"/>
      <c r="O12" s="162"/>
      <c r="P12" s="162"/>
      <c r="Q12" s="163"/>
      <c r="R12" s="164"/>
      <c r="S12" s="165"/>
      <c r="T12" s="166"/>
      <c r="U12" s="167"/>
      <c r="V12" s="167"/>
      <c r="W12" s="167"/>
      <c r="X12" s="168"/>
      <c r="Y12" s="169"/>
      <c r="Z12" s="170"/>
      <c r="AA12" s="171"/>
      <c r="AB12" s="171"/>
      <c r="AC12" s="171"/>
      <c r="AD12" s="172"/>
      <c r="AE12" s="173"/>
      <c r="AF12" s="174"/>
      <c r="AG12" s="175"/>
      <c r="AH12" s="176"/>
      <c r="AI12" s="177"/>
      <c r="AJ12" s="161"/>
      <c r="AK12" s="162"/>
      <c r="AL12" s="163"/>
      <c r="AM12" s="178"/>
      <c r="AN12" s="179"/>
      <c r="AO12" s="180"/>
      <c r="AP12" s="178"/>
      <c r="AQ12" s="179"/>
      <c r="AR12" s="180"/>
      <c r="AS12" s="181"/>
      <c r="AU12" s="136"/>
    </row>
    <row r="13" spans="1:47" ht="109.35" customHeight="1">
      <c r="A13" s="182" t="s">
        <v>41</v>
      </c>
      <c r="B13" s="183"/>
      <c r="C13" s="183"/>
      <c r="D13" s="183"/>
      <c r="E13" s="183"/>
      <c r="F13" s="183"/>
      <c r="G13" s="183"/>
      <c r="H13" s="183"/>
      <c r="I13" s="184"/>
      <c r="J13" s="185" t="s">
        <v>42</v>
      </c>
      <c r="K13" s="186"/>
      <c r="L13" s="186"/>
      <c r="M13" s="186"/>
      <c r="N13" s="186"/>
      <c r="O13" s="187"/>
      <c r="P13" s="188" t="s">
        <v>34</v>
      </c>
      <c r="Q13" s="189"/>
      <c r="R13" s="190" t="s">
        <v>43</v>
      </c>
      <c r="S13" s="191"/>
      <c r="T13" s="192"/>
      <c r="U13" s="95"/>
      <c r="V13" s="95" t="s">
        <v>36</v>
      </c>
      <c r="W13" s="95"/>
      <c r="X13" s="96"/>
      <c r="Y13" s="97" t="s">
        <v>36</v>
      </c>
      <c r="Z13" s="98"/>
      <c r="AA13" s="99"/>
      <c r="AB13" s="99" t="s">
        <v>36</v>
      </c>
      <c r="AC13" s="99"/>
      <c r="AD13" s="193" t="s">
        <v>44</v>
      </c>
      <c r="AE13" s="194"/>
      <c r="AF13" s="195"/>
      <c r="AG13" s="196">
        <f>'[1]Exciting Test'!B79</f>
        <v>46029</v>
      </c>
      <c r="AH13" s="197"/>
      <c r="AI13" s="198"/>
      <c r="AJ13" s="199"/>
      <c r="AK13" s="200"/>
      <c r="AL13" s="189"/>
      <c r="AM13" s="188"/>
      <c r="AN13" s="200"/>
      <c r="AO13" s="189"/>
      <c r="AP13" s="201">
        <v>25</v>
      </c>
      <c r="AQ13" s="202"/>
      <c r="AR13" s="203"/>
      <c r="AS13" s="204">
        <f>MIN(AM13:AO21,AM23:AO27,AM29:AO33)*AP13</f>
        <v>0</v>
      </c>
      <c r="AU13" s="136" t="str" cm="1">
        <f t="array" ref="AU13">_xlfn.IFS(AM13&gt;3,"A",AM13=3,"Q",AM13&lt;3,"U")</f>
        <v>U</v>
      </c>
    </row>
    <row r="14" spans="1:47" ht="74.099999999999994" customHeight="1">
      <c r="A14" s="182" t="s">
        <v>45</v>
      </c>
      <c r="B14" s="183"/>
      <c r="C14" s="183"/>
      <c r="D14" s="183"/>
      <c r="E14" s="183"/>
      <c r="F14" s="183"/>
      <c r="G14" s="183"/>
      <c r="H14" s="183"/>
      <c r="I14" s="184"/>
      <c r="J14" s="185" t="s">
        <v>46</v>
      </c>
      <c r="K14" s="186"/>
      <c r="L14" s="186"/>
      <c r="M14" s="186"/>
      <c r="N14" s="186"/>
      <c r="O14" s="187"/>
      <c r="P14" s="188" t="s">
        <v>34</v>
      </c>
      <c r="Q14" s="189"/>
      <c r="R14" s="92"/>
      <c r="S14" s="93" t="s">
        <v>37</v>
      </c>
      <c r="T14" s="94">
        <v>3</v>
      </c>
      <c r="U14" s="95">
        <f>T14</f>
        <v>3</v>
      </c>
      <c r="V14" s="95" t="s">
        <v>36</v>
      </c>
      <c r="W14" s="95">
        <f>X14</f>
        <v>2.7</v>
      </c>
      <c r="X14" s="96">
        <v>2.7</v>
      </c>
      <c r="Y14" s="97" t="s">
        <v>36</v>
      </c>
      <c r="Z14" s="98">
        <v>2.5</v>
      </c>
      <c r="AA14" s="99">
        <f>Z14</f>
        <v>2.5</v>
      </c>
      <c r="AB14" s="99" t="s">
        <v>36</v>
      </c>
      <c r="AC14" s="99">
        <f>AF14</f>
        <v>2</v>
      </c>
      <c r="AD14" s="100"/>
      <c r="AE14" s="101" t="s">
        <v>35</v>
      </c>
      <c r="AF14" s="102">
        <v>2</v>
      </c>
      <c r="AG14" s="196">
        <f>'[1]Health Index'!Q40</f>
        <v>46029</v>
      </c>
      <c r="AH14" s="197"/>
      <c r="AI14" s="198"/>
      <c r="AJ14" s="205"/>
      <c r="AK14" s="206"/>
      <c r="AL14" s="207"/>
      <c r="AM14" s="188"/>
      <c r="AN14" s="200"/>
      <c r="AO14" s="189"/>
      <c r="AP14" s="208"/>
      <c r="AQ14" s="209"/>
      <c r="AR14" s="210"/>
      <c r="AS14" s="211"/>
      <c r="AU14" s="136" t="str" cm="1">
        <f t="array" ref="AU14">_xlfn.IFS(AM14&gt;3,"A",AM14=3,"Q",AM14&lt;3,"U")</f>
        <v>U</v>
      </c>
    </row>
    <row r="15" spans="1:47" ht="70.349999999999994" customHeight="1">
      <c r="A15" s="182" t="s">
        <v>47</v>
      </c>
      <c r="B15" s="183"/>
      <c r="C15" s="183"/>
      <c r="D15" s="183"/>
      <c r="E15" s="183"/>
      <c r="F15" s="183"/>
      <c r="G15" s="183"/>
      <c r="H15" s="183"/>
      <c r="I15" s="184"/>
      <c r="J15" s="185" t="s">
        <v>48</v>
      </c>
      <c r="K15" s="183"/>
      <c r="L15" s="183"/>
      <c r="M15" s="183"/>
      <c r="N15" s="183"/>
      <c r="O15" s="184"/>
      <c r="P15" s="188" t="s">
        <v>34</v>
      </c>
      <c r="Q15" s="189"/>
      <c r="R15" s="92"/>
      <c r="S15" s="93" t="s">
        <v>37</v>
      </c>
      <c r="T15" s="94">
        <v>3</v>
      </c>
      <c r="U15" s="95">
        <f>T15</f>
        <v>3</v>
      </c>
      <c r="V15" s="95" t="s">
        <v>36</v>
      </c>
      <c r="W15" s="95">
        <f>X15</f>
        <v>2.7</v>
      </c>
      <c r="X15" s="96">
        <v>2.7</v>
      </c>
      <c r="Y15" s="97" t="s">
        <v>36</v>
      </c>
      <c r="Z15" s="98">
        <v>2.5</v>
      </c>
      <c r="AA15" s="99">
        <f>Z15</f>
        <v>2.5</v>
      </c>
      <c r="AB15" s="99" t="s">
        <v>36</v>
      </c>
      <c r="AC15" s="99">
        <f>AF15</f>
        <v>2</v>
      </c>
      <c r="AD15" s="100"/>
      <c r="AE15" s="101" t="s">
        <v>35</v>
      </c>
      <c r="AF15" s="102">
        <v>2</v>
      </c>
      <c r="AG15" s="196">
        <f>'[1]Health Index'!Q41</f>
        <v>46029</v>
      </c>
      <c r="AH15" s="197"/>
      <c r="AI15" s="198"/>
      <c r="AJ15" s="205"/>
      <c r="AK15" s="206"/>
      <c r="AL15" s="207"/>
      <c r="AM15" s="188"/>
      <c r="AN15" s="200"/>
      <c r="AO15" s="189"/>
      <c r="AP15" s="208"/>
      <c r="AQ15" s="209"/>
      <c r="AR15" s="210"/>
      <c r="AS15" s="211"/>
      <c r="AU15" s="136" t="str" cm="1">
        <f t="array" ref="AU15">_xlfn.IFS(AM15&gt;3,"A",AM15=3,"Q",AM15&lt;3,"U")</f>
        <v>U</v>
      </c>
    </row>
    <row r="16" spans="1:47" ht="33.75" customHeight="1">
      <c r="A16" s="182" t="s">
        <v>49</v>
      </c>
      <c r="B16" s="183"/>
      <c r="C16" s="183"/>
      <c r="D16" s="183"/>
      <c r="E16" s="183"/>
      <c r="F16" s="183"/>
      <c r="G16" s="183"/>
      <c r="H16" s="183"/>
      <c r="I16" s="184"/>
      <c r="J16" s="212" t="s">
        <v>50</v>
      </c>
      <c r="K16" s="183"/>
      <c r="L16" s="183"/>
      <c r="M16" s="183"/>
      <c r="N16" s="183"/>
      <c r="O16" s="184"/>
      <c r="P16" s="188" t="s">
        <v>34</v>
      </c>
      <c r="Q16" s="189"/>
      <c r="R16" s="92"/>
      <c r="S16" s="93" t="s">
        <v>37</v>
      </c>
      <c r="T16" s="94">
        <v>0.5</v>
      </c>
      <c r="U16" s="95"/>
      <c r="V16" s="95"/>
      <c r="W16" s="95"/>
      <c r="X16" s="96"/>
      <c r="Y16" s="97"/>
      <c r="Z16" s="98"/>
      <c r="AA16" s="99"/>
      <c r="AB16" s="99"/>
      <c r="AC16" s="99"/>
      <c r="AD16" s="100"/>
      <c r="AE16" s="101" t="s">
        <v>35</v>
      </c>
      <c r="AF16" s="102">
        <v>0.5</v>
      </c>
      <c r="AG16" s="196">
        <f>'[1]Health Index'!Q34</f>
        <v>46029</v>
      </c>
      <c r="AH16" s="197"/>
      <c r="AI16" s="198"/>
      <c r="AJ16" s="205"/>
      <c r="AK16" s="206"/>
      <c r="AL16" s="207"/>
      <c r="AM16" s="188"/>
      <c r="AN16" s="200"/>
      <c r="AO16" s="189"/>
      <c r="AP16" s="208"/>
      <c r="AQ16" s="209"/>
      <c r="AR16" s="210"/>
      <c r="AS16" s="211"/>
      <c r="AU16" s="136" t="str" cm="1">
        <f t="array" ref="AU16">_xlfn.IFS(AM16&gt;3,"A",AM16=3,"Q",AM16&lt;3,"U")</f>
        <v>U</v>
      </c>
    </row>
    <row r="17" spans="1:52" ht="33.75" customHeight="1">
      <c r="A17" s="213" t="s">
        <v>51</v>
      </c>
      <c r="B17" s="214"/>
      <c r="C17" s="214"/>
      <c r="D17" s="214"/>
      <c r="E17" s="214"/>
      <c r="F17" s="214"/>
      <c r="G17" s="214"/>
      <c r="H17" s="214"/>
      <c r="I17" s="215"/>
      <c r="J17" s="212" t="s">
        <v>52</v>
      </c>
      <c r="K17" s="183"/>
      <c r="L17" s="183"/>
      <c r="M17" s="183"/>
      <c r="N17" s="183"/>
      <c r="O17" s="184"/>
      <c r="P17" s="216" t="s">
        <v>34</v>
      </c>
      <c r="Q17" s="217"/>
      <c r="R17" s="92"/>
      <c r="S17" s="93" t="s">
        <v>37</v>
      </c>
      <c r="T17" s="94">
        <v>5</v>
      </c>
      <c r="U17" s="95"/>
      <c r="V17" s="95"/>
      <c r="W17" s="95"/>
      <c r="X17" s="96">
        <v>5</v>
      </c>
      <c r="Y17" s="97" t="s">
        <v>36</v>
      </c>
      <c r="Z17" s="98">
        <v>4.5</v>
      </c>
      <c r="AA17" s="99"/>
      <c r="AB17" s="99"/>
      <c r="AC17" s="99"/>
      <c r="AD17" s="100"/>
      <c r="AE17" s="101" t="s">
        <v>35</v>
      </c>
      <c r="AF17" s="102">
        <v>4.5</v>
      </c>
      <c r="AG17" s="218">
        <f>'[1]Health Index'!Q37</f>
        <v>46029</v>
      </c>
      <c r="AH17" s="219"/>
      <c r="AI17" s="220"/>
      <c r="AJ17" s="205"/>
      <c r="AK17" s="206"/>
      <c r="AL17" s="207"/>
      <c r="AM17" s="188"/>
      <c r="AN17" s="200"/>
      <c r="AO17" s="189"/>
      <c r="AP17" s="208"/>
      <c r="AQ17" s="209"/>
      <c r="AR17" s="210"/>
      <c r="AS17" s="211"/>
      <c r="AU17" s="136" t="str" cm="1">
        <f t="array" ref="AU17">_xlfn.IFS(MIN(AM17,AM18,AM23,AM24,AM29,AM30)&gt;3,"A",MIN(AM17,AM18,AM23,AM24,AM29,AM30)=3,"Q",MIN(AM17,AM18,AM23,AM24,AM29,AM30)&lt;3,"U")</f>
        <v>U</v>
      </c>
      <c r="AZ17" s="7"/>
    </row>
    <row r="18" spans="1:52" ht="38.25" customHeight="1">
      <c r="A18" s="221"/>
      <c r="B18" s="222"/>
      <c r="C18" s="222"/>
      <c r="D18" s="222"/>
      <c r="E18" s="222"/>
      <c r="F18" s="222"/>
      <c r="G18" s="222"/>
      <c r="H18" s="222"/>
      <c r="I18" s="223"/>
      <c r="J18" s="212" t="s">
        <v>53</v>
      </c>
      <c r="K18" s="183"/>
      <c r="L18" s="183"/>
      <c r="M18" s="183"/>
      <c r="N18" s="183"/>
      <c r="O18" s="184"/>
      <c r="P18" s="224"/>
      <c r="Q18" s="225"/>
      <c r="R18" s="92"/>
      <c r="S18" s="93" t="s">
        <v>37</v>
      </c>
      <c r="T18" s="94">
        <v>2</v>
      </c>
      <c r="U18" s="95"/>
      <c r="V18" s="95"/>
      <c r="W18" s="95"/>
      <c r="X18" s="96">
        <v>2</v>
      </c>
      <c r="Y18" s="97" t="s">
        <v>36</v>
      </c>
      <c r="Z18" s="98">
        <v>1.5</v>
      </c>
      <c r="AA18" s="99"/>
      <c r="AB18" s="99"/>
      <c r="AC18" s="99"/>
      <c r="AD18" s="100"/>
      <c r="AE18" s="101" t="s">
        <v>35</v>
      </c>
      <c r="AF18" s="102">
        <v>1.5</v>
      </c>
      <c r="AG18" s="226"/>
      <c r="AH18" s="227"/>
      <c r="AI18" s="228"/>
      <c r="AJ18" s="205"/>
      <c r="AK18" s="206"/>
      <c r="AL18" s="207"/>
      <c r="AM18" s="188"/>
      <c r="AN18" s="200"/>
      <c r="AO18" s="189"/>
      <c r="AP18" s="208"/>
      <c r="AQ18" s="209"/>
      <c r="AR18" s="210"/>
      <c r="AS18" s="211"/>
      <c r="AU18" s="136"/>
    </row>
    <row r="19" spans="1:52" ht="39" customHeight="1">
      <c r="A19" s="213" t="s">
        <v>54</v>
      </c>
      <c r="B19" s="214"/>
      <c r="C19" s="214"/>
      <c r="D19" s="214"/>
      <c r="E19" s="214"/>
      <c r="F19" s="214"/>
      <c r="G19" s="214"/>
      <c r="H19" s="214"/>
      <c r="I19" s="215"/>
      <c r="J19" s="212" t="s">
        <v>55</v>
      </c>
      <c r="K19" s="183"/>
      <c r="L19" s="183"/>
      <c r="M19" s="183"/>
      <c r="N19" s="183"/>
      <c r="O19" s="184"/>
      <c r="P19" s="216" t="s">
        <v>34</v>
      </c>
      <c r="Q19" s="217"/>
      <c r="R19" s="92"/>
      <c r="S19" s="93" t="s">
        <v>37</v>
      </c>
      <c r="T19" s="94">
        <f>IF(J3="Dry Type",5,1)</f>
        <v>1</v>
      </c>
      <c r="U19" s="95">
        <f>T19</f>
        <v>1</v>
      </c>
      <c r="V19" s="95" t="s">
        <v>36</v>
      </c>
      <c r="W19" s="95">
        <v>0.8</v>
      </c>
      <c r="X19" s="96">
        <v>0.8</v>
      </c>
      <c r="Y19" s="97" t="s">
        <v>36</v>
      </c>
      <c r="Z19" s="98">
        <v>0.6</v>
      </c>
      <c r="AA19" s="99">
        <v>0.6</v>
      </c>
      <c r="AB19" s="99" t="s">
        <v>36</v>
      </c>
      <c r="AC19" s="99">
        <f>AF19</f>
        <v>0.5</v>
      </c>
      <c r="AD19" s="100"/>
      <c r="AE19" s="101" t="s">
        <v>35</v>
      </c>
      <c r="AF19" s="102">
        <f>IF($J$3="Dry Type",2,IF($J$3="Natural Ester",1,IF($J$3="Synthetic Ester",1,IF($J$3="Mineral Oil",IF($O$2&lt;230,0.5,0.4)))))</f>
        <v>0.5</v>
      </c>
      <c r="AG19" s="218">
        <f>'[1]Health Index'!Q31</f>
        <v>46029</v>
      </c>
      <c r="AH19" s="219"/>
      <c r="AI19" s="220"/>
      <c r="AJ19" s="205"/>
      <c r="AK19" s="206"/>
      <c r="AL19" s="207"/>
      <c r="AM19" s="188"/>
      <c r="AN19" s="200"/>
      <c r="AO19" s="189"/>
      <c r="AP19" s="208"/>
      <c r="AQ19" s="209"/>
      <c r="AR19" s="210"/>
      <c r="AS19" s="211"/>
      <c r="AU19" s="136" t="str" cm="1">
        <f t="array" ref="AU19">_xlfn.IFS(MIN(AM19,AM20,AM25,AM26,AM31,AM32)&gt;3,"A",MIN(AM19,AM20,AM25,AM26,AM31,AM32)=3,"Q",MIN(AM19,AM20,AM25,AM26,AM31,AM32)&lt;3,"U")</f>
        <v>U</v>
      </c>
    </row>
    <row r="20" spans="1:52" ht="33.75" customHeight="1">
      <c r="A20" s="221"/>
      <c r="B20" s="222"/>
      <c r="C20" s="222"/>
      <c r="D20" s="222"/>
      <c r="E20" s="222"/>
      <c r="F20" s="222"/>
      <c r="G20" s="222"/>
      <c r="H20" s="222"/>
      <c r="I20" s="223"/>
      <c r="J20" s="212" t="s">
        <v>56</v>
      </c>
      <c r="K20" s="183"/>
      <c r="L20" s="183"/>
      <c r="M20" s="183"/>
      <c r="N20" s="183"/>
      <c r="O20" s="184"/>
      <c r="P20" s="224"/>
      <c r="Q20" s="225"/>
      <c r="R20" s="92"/>
      <c r="S20" s="93" t="s">
        <v>37</v>
      </c>
      <c r="T20" s="94">
        <v>10</v>
      </c>
      <c r="U20" s="95">
        <v>10</v>
      </c>
      <c r="V20" s="95" t="s">
        <v>36</v>
      </c>
      <c r="W20" s="95">
        <v>8</v>
      </c>
      <c r="X20" s="96">
        <v>8</v>
      </c>
      <c r="Y20" s="97" t="s">
        <v>36</v>
      </c>
      <c r="Z20" s="98">
        <v>6</v>
      </c>
      <c r="AA20" s="99">
        <v>6</v>
      </c>
      <c r="AB20" s="99" t="s">
        <v>36</v>
      </c>
      <c r="AC20" s="99">
        <v>5</v>
      </c>
      <c r="AD20" s="100"/>
      <c r="AE20" s="101" t="s">
        <v>35</v>
      </c>
      <c r="AF20" s="102">
        <v>5</v>
      </c>
      <c r="AG20" s="229"/>
      <c r="AH20" s="230"/>
      <c r="AI20" s="231"/>
      <c r="AJ20" s="232"/>
      <c r="AK20" s="233"/>
      <c r="AL20" s="234"/>
      <c r="AM20" s="188"/>
      <c r="AN20" s="200"/>
      <c r="AO20" s="189"/>
      <c r="AP20" s="208"/>
      <c r="AQ20" s="209"/>
      <c r="AR20" s="210"/>
      <c r="AS20" s="211"/>
      <c r="AU20" s="136"/>
    </row>
    <row r="21" spans="1:52" ht="34.5" customHeight="1" thickBot="1">
      <c r="A21" s="235" t="s">
        <v>57</v>
      </c>
      <c r="B21" s="236"/>
      <c r="C21" s="236"/>
      <c r="D21" s="236"/>
      <c r="E21" s="236"/>
      <c r="F21" s="236"/>
      <c r="G21" s="236"/>
      <c r="H21" s="236"/>
      <c r="I21" s="237"/>
      <c r="J21" s="238" t="s">
        <v>58</v>
      </c>
      <c r="K21" s="239"/>
      <c r="L21" s="239"/>
      <c r="M21" s="239"/>
      <c r="N21" s="239"/>
      <c r="O21" s="240"/>
      <c r="P21" s="188" t="s">
        <v>34</v>
      </c>
      <c r="Q21" s="189"/>
      <c r="R21" s="241"/>
      <c r="S21" s="242" t="s">
        <v>35</v>
      </c>
      <c r="T21" s="243">
        <v>1</v>
      </c>
      <c r="U21" s="244">
        <v>1</v>
      </c>
      <c r="V21" s="244" t="s">
        <v>36</v>
      </c>
      <c r="W21" s="244">
        <v>1.1000000000000001</v>
      </c>
      <c r="X21" s="245">
        <v>1.1000000000000001</v>
      </c>
      <c r="Y21" s="246" t="s">
        <v>36</v>
      </c>
      <c r="Z21" s="247">
        <v>1.1499999999999999</v>
      </c>
      <c r="AA21" s="248">
        <v>1.1499999999999999</v>
      </c>
      <c r="AB21" s="248" t="s">
        <v>36</v>
      </c>
      <c r="AC21" s="248">
        <v>1.25</v>
      </c>
      <c r="AD21" s="249"/>
      <c r="AE21" s="250" t="s">
        <v>37</v>
      </c>
      <c r="AF21" s="251">
        <v>1.25</v>
      </c>
      <c r="AG21" s="252"/>
      <c r="AH21" s="253"/>
      <c r="AI21" s="254"/>
      <c r="AJ21" s="255"/>
      <c r="AK21" s="256"/>
      <c r="AL21" s="257"/>
      <c r="AM21" s="188"/>
      <c r="AN21" s="200"/>
      <c r="AO21" s="189"/>
      <c r="AP21" s="208"/>
      <c r="AQ21" s="209"/>
      <c r="AR21" s="210"/>
      <c r="AS21" s="211"/>
      <c r="AU21" s="136" t="str" cm="1">
        <f t="array" ref="AU21">_xlfn.IFS(MIN(AM21,AM27,AM33)&gt;3,"A",MIN(AM21,AM27,AM33)=3,"Q",MIN(AM21,AM27,AM33)&lt;3,"U")</f>
        <v>U</v>
      </c>
    </row>
    <row r="22" spans="1:52" ht="35.25" customHeight="1">
      <c r="A22" s="158" t="s">
        <v>59</v>
      </c>
      <c r="B22" s="159"/>
      <c r="C22" s="159"/>
      <c r="D22" s="159"/>
      <c r="E22" s="159"/>
      <c r="F22" s="159"/>
      <c r="G22" s="159"/>
      <c r="H22" s="159"/>
      <c r="I22" s="160"/>
      <c r="J22" s="258"/>
      <c r="K22" s="258"/>
      <c r="L22" s="258"/>
      <c r="M22" s="258"/>
      <c r="N22" s="258"/>
      <c r="O22" s="258"/>
      <c r="P22" s="258"/>
      <c r="Q22" s="258"/>
      <c r="R22" s="164"/>
      <c r="S22" s="165"/>
      <c r="T22" s="166"/>
      <c r="U22" s="167"/>
      <c r="V22" s="167"/>
      <c r="W22" s="167"/>
      <c r="X22" s="168"/>
      <c r="Y22" s="169"/>
      <c r="Z22" s="170"/>
      <c r="AA22" s="171"/>
      <c r="AB22" s="171"/>
      <c r="AC22" s="171"/>
      <c r="AD22" s="172"/>
      <c r="AE22" s="173"/>
      <c r="AF22" s="174"/>
      <c r="AG22" s="175"/>
      <c r="AH22" s="176"/>
      <c r="AI22" s="177"/>
      <c r="AJ22" s="161"/>
      <c r="AK22" s="162"/>
      <c r="AL22" s="163"/>
      <c r="AM22" s="178"/>
      <c r="AN22" s="179"/>
      <c r="AO22" s="180"/>
      <c r="AP22" s="208"/>
      <c r="AQ22" s="209"/>
      <c r="AR22" s="210"/>
      <c r="AS22" s="211"/>
      <c r="AU22" s="136"/>
    </row>
    <row r="23" spans="1:52" ht="33.75" customHeight="1">
      <c r="A23" s="213" t="s">
        <v>51</v>
      </c>
      <c r="B23" s="214"/>
      <c r="C23" s="214"/>
      <c r="D23" s="214"/>
      <c r="E23" s="214"/>
      <c r="F23" s="214"/>
      <c r="G23" s="214"/>
      <c r="H23" s="214"/>
      <c r="I23" s="215"/>
      <c r="J23" s="212" t="s">
        <v>52</v>
      </c>
      <c r="K23" s="183"/>
      <c r="L23" s="183"/>
      <c r="M23" s="183"/>
      <c r="N23" s="183"/>
      <c r="O23" s="184"/>
      <c r="P23" s="216" t="s">
        <v>34</v>
      </c>
      <c r="Q23" s="217"/>
      <c r="R23" s="92"/>
      <c r="S23" s="93" t="s">
        <v>37</v>
      </c>
      <c r="T23" s="94">
        <v>5</v>
      </c>
      <c r="U23" s="95"/>
      <c r="V23" s="95"/>
      <c r="W23" s="95"/>
      <c r="X23" s="96">
        <f>T23</f>
        <v>5</v>
      </c>
      <c r="Y23" s="97" t="s">
        <v>36</v>
      </c>
      <c r="Z23" s="98">
        <f>AF23</f>
        <v>4.5</v>
      </c>
      <c r="AA23" s="99"/>
      <c r="AB23" s="99"/>
      <c r="AC23" s="99"/>
      <c r="AD23" s="100"/>
      <c r="AE23" s="101" t="s">
        <v>35</v>
      </c>
      <c r="AF23" s="102">
        <v>4.5</v>
      </c>
      <c r="AG23" s="218">
        <f>'[1]Health Index'!Q37</f>
        <v>46029</v>
      </c>
      <c r="AH23" s="219"/>
      <c r="AI23" s="220"/>
      <c r="AJ23" s="199"/>
      <c r="AK23" s="259"/>
      <c r="AL23" s="260"/>
      <c r="AM23" s="188"/>
      <c r="AN23" s="200"/>
      <c r="AO23" s="189"/>
      <c r="AP23" s="208"/>
      <c r="AQ23" s="209"/>
      <c r="AR23" s="210"/>
      <c r="AS23" s="211"/>
      <c r="AU23" s="136"/>
    </row>
    <row r="24" spans="1:52" ht="38.25" customHeight="1">
      <c r="A24" s="221"/>
      <c r="B24" s="222"/>
      <c r="C24" s="222"/>
      <c r="D24" s="222"/>
      <c r="E24" s="222"/>
      <c r="F24" s="222"/>
      <c r="G24" s="222"/>
      <c r="H24" s="222"/>
      <c r="I24" s="223"/>
      <c r="J24" s="212" t="s">
        <v>60</v>
      </c>
      <c r="K24" s="183"/>
      <c r="L24" s="183"/>
      <c r="M24" s="183"/>
      <c r="N24" s="183"/>
      <c r="O24" s="184"/>
      <c r="P24" s="224"/>
      <c r="Q24" s="225"/>
      <c r="R24" s="92"/>
      <c r="S24" s="93" t="s">
        <v>37</v>
      </c>
      <c r="T24" s="94">
        <v>5</v>
      </c>
      <c r="U24" s="95"/>
      <c r="V24" s="95"/>
      <c r="W24" s="95"/>
      <c r="X24" s="96">
        <f>T24</f>
        <v>5</v>
      </c>
      <c r="Y24" s="97" t="s">
        <v>36</v>
      </c>
      <c r="Z24" s="98">
        <f>AF24</f>
        <v>3</v>
      </c>
      <c r="AA24" s="99"/>
      <c r="AB24" s="99"/>
      <c r="AC24" s="99"/>
      <c r="AD24" s="100"/>
      <c r="AE24" s="101" t="s">
        <v>35</v>
      </c>
      <c r="AF24" s="102">
        <v>3</v>
      </c>
      <c r="AG24" s="226"/>
      <c r="AH24" s="227"/>
      <c r="AI24" s="228"/>
      <c r="AJ24" s="199"/>
      <c r="AK24" s="259"/>
      <c r="AL24" s="260"/>
      <c r="AM24" s="188"/>
      <c r="AN24" s="200"/>
      <c r="AO24" s="189"/>
      <c r="AP24" s="208"/>
      <c r="AQ24" s="209"/>
      <c r="AR24" s="210"/>
      <c r="AS24" s="211"/>
      <c r="AU24" s="136"/>
    </row>
    <row r="25" spans="1:52" ht="39" customHeight="1">
      <c r="A25" s="213" t="s">
        <v>54</v>
      </c>
      <c r="B25" s="214"/>
      <c r="C25" s="214"/>
      <c r="D25" s="214"/>
      <c r="E25" s="214"/>
      <c r="F25" s="214"/>
      <c r="G25" s="214"/>
      <c r="H25" s="214"/>
      <c r="I25" s="215"/>
      <c r="J25" s="212" t="s">
        <v>55</v>
      </c>
      <c r="K25" s="183"/>
      <c r="L25" s="183"/>
      <c r="M25" s="183"/>
      <c r="N25" s="183"/>
      <c r="O25" s="184"/>
      <c r="P25" s="216" t="s">
        <v>34</v>
      </c>
      <c r="Q25" s="217"/>
      <c r="R25" s="92"/>
      <c r="S25" s="93" t="s">
        <v>37</v>
      </c>
      <c r="T25" s="94">
        <f>IF(J9="Dry Type",5,1)</f>
        <v>1</v>
      </c>
      <c r="U25" s="95">
        <f>T25</f>
        <v>1</v>
      </c>
      <c r="V25" s="95" t="s">
        <v>36</v>
      </c>
      <c r="W25" s="95">
        <v>0.8</v>
      </c>
      <c r="X25" s="96">
        <v>0.8</v>
      </c>
      <c r="Y25" s="97" t="s">
        <v>36</v>
      </c>
      <c r="Z25" s="98">
        <v>0.6</v>
      </c>
      <c r="AA25" s="99">
        <v>0.6</v>
      </c>
      <c r="AB25" s="99" t="s">
        <v>36</v>
      </c>
      <c r="AC25" s="99">
        <f>AF25</f>
        <v>0.5</v>
      </c>
      <c r="AD25" s="100"/>
      <c r="AE25" s="101" t="s">
        <v>35</v>
      </c>
      <c r="AF25" s="102">
        <f>IF($J$3="Dry Type",2,IF($J$3="Natural Ester",1,IF($J$3="Synthetic Ester",1,IF($J$3="Mineral Oil",IF($O$2&lt;230,0.5,0.4)))))</f>
        <v>0.5</v>
      </c>
      <c r="AG25" s="218">
        <f>'[1]Health Index'!Q31</f>
        <v>46029</v>
      </c>
      <c r="AH25" s="219"/>
      <c r="AI25" s="220"/>
      <c r="AJ25" s="199"/>
      <c r="AK25" s="200"/>
      <c r="AL25" s="189"/>
      <c r="AM25" s="188"/>
      <c r="AN25" s="200"/>
      <c r="AO25" s="189"/>
      <c r="AP25" s="208"/>
      <c r="AQ25" s="209"/>
      <c r="AR25" s="210"/>
      <c r="AS25" s="211"/>
      <c r="AU25" s="136"/>
    </row>
    <row r="26" spans="1:52" ht="33.75" customHeight="1">
      <c r="A26" s="221"/>
      <c r="B26" s="222"/>
      <c r="C26" s="222"/>
      <c r="D26" s="222"/>
      <c r="E26" s="222"/>
      <c r="F26" s="222"/>
      <c r="G26" s="222"/>
      <c r="H26" s="222"/>
      <c r="I26" s="223"/>
      <c r="J26" s="212" t="s">
        <v>56</v>
      </c>
      <c r="K26" s="183"/>
      <c r="L26" s="183"/>
      <c r="M26" s="183"/>
      <c r="N26" s="183"/>
      <c r="O26" s="184"/>
      <c r="P26" s="224"/>
      <c r="Q26" s="225"/>
      <c r="R26" s="92"/>
      <c r="S26" s="93" t="s">
        <v>37</v>
      </c>
      <c r="T26" s="94">
        <v>10</v>
      </c>
      <c r="U26" s="95">
        <v>10</v>
      </c>
      <c r="V26" s="95" t="s">
        <v>36</v>
      </c>
      <c r="W26" s="95">
        <v>8</v>
      </c>
      <c r="X26" s="96">
        <v>8</v>
      </c>
      <c r="Y26" s="97" t="s">
        <v>36</v>
      </c>
      <c r="Z26" s="98">
        <v>6</v>
      </c>
      <c r="AA26" s="99">
        <v>6</v>
      </c>
      <c r="AB26" s="99" t="s">
        <v>36</v>
      </c>
      <c r="AC26" s="99">
        <v>5</v>
      </c>
      <c r="AD26" s="100"/>
      <c r="AE26" s="101" t="s">
        <v>35</v>
      </c>
      <c r="AF26" s="102">
        <v>5</v>
      </c>
      <c r="AG26" s="229"/>
      <c r="AH26" s="230"/>
      <c r="AI26" s="231"/>
      <c r="AJ26" s="199"/>
      <c r="AK26" s="259"/>
      <c r="AL26" s="260"/>
      <c r="AM26" s="188"/>
      <c r="AN26" s="200"/>
      <c r="AO26" s="189"/>
      <c r="AP26" s="208"/>
      <c r="AQ26" s="209"/>
      <c r="AR26" s="210"/>
      <c r="AS26" s="211"/>
      <c r="AU26" s="136"/>
    </row>
    <row r="27" spans="1:52" ht="34.5" customHeight="1" thickBot="1">
      <c r="A27" s="235" t="s">
        <v>57</v>
      </c>
      <c r="B27" s="236"/>
      <c r="C27" s="236"/>
      <c r="D27" s="236"/>
      <c r="E27" s="236"/>
      <c r="F27" s="236"/>
      <c r="G27" s="236"/>
      <c r="H27" s="236"/>
      <c r="I27" s="237"/>
      <c r="J27" s="238" t="s">
        <v>58</v>
      </c>
      <c r="K27" s="239"/>
      <c r="L27" s="239"/>
      <c r="M27" s="239"/>
      <c r="N27" s="239"/>
      <c r="O27" s="240"/>
      <c r="P27" s="188" t="s">
        <v>34</v>
      </c>
      <c r="Q27" s="189"/>
      <c r="R27" s="241"/>
      <c r="S27" s="242" t="s">
        <v>35</v>
      </c>
      <c r="T27" s="243">
        <v>1</v>
      </c>
      <c r="U27" s="244">
        <v>1</v>
      </c>
      <c r="V27" s="244" t="s">
        <v>36</v>
      </c>
      <c r="W27" s="244">
        <v>1.1000000000000001</v>
      </c>
      <c r="X27" s="245">
        <v>1.1000000000000001</v>
      </c>
      <c r="Y27" s="246" t="s">
        <v>36</v>
      </c>
      <c r="Z27" s="247">
        <v>1.1499999999999999</v>
      </c>
      <c r="AA27" s="248">
        <v>1.1499999999999999</v>
      </c>
      <c r="AB27" s="248" t="s">
        <v>36</v>
      </c>
      <c r="AC27" s="248">
        <v>1.25</v>
      </c>
      <c r="AD27" s="249"/>
      <c r="AE27" s="250" t="s">
        <v>37</v>
      </c>
      <c r="AF27" s="251">
        <v>1.25</v>
      </c>
      <c r="AG27" s="252"/>
      <c r="AH27" s="253"/>
      <c r="AI27" s="254"/>
      <c r="AJ27" s="255"/>
      <c r="AK27" s="256"/>
      <c r="AL27" s="257"/>
      <c r="AM27" s="188"/>
      <c r="AN27" s="200"/>
      <c r="AO27" s="189"/>
      <c r="AP27" s="208"/>
      <c r="AQ27" s="209"/>
      <c r="AR27" s="210"/>
      <c r="AS27" s="211"/>
      <c r="AU27" s="136"/>
    </row>
    <row r="28" spans="1:52" ht="35.25" customHeight="1">
      <c r="A28" s="158" t="s">
        <v>61</v>
      </c>
      <c r="B28" s="159"/>
      <c r="C28" s="159"/>
      <c r="D28" s="159"/>
      <c r="E28" s="159"/>
      <c r="F28" s="159"/>
      <c r="G28" s="159"/>
      <c r="H28" s="159"/>
      <c r="I28" s="160"/>
      <c r="J28" s="258"/>
      <c r="K28" s="258"/>
      <c r="L28" s="258"/>
      <c r="M28" s="258"/>
      <c r="N28" s="258"/>
      <c r="O28" s="258"/>
      <c r="P28" s="258"/>
      <c r="Q28" s="258"/>
      <c r="R28" s="164"/>
      <c r="S28" s="165"/>
      <c r="T28" s="166"/>
      <c r="U28" s="167"/>
      <c r="V28" s="167"/>
      <c r="W28" s="167"/>
      <c r="X28" s="168"/>
      <c r="Y28" s="169"/>
      <c r="Z28" s="170"/>
      <c r="AA28" s="171"/>
      <c r="AB28" s="171"/>
      <c r="AC28" s="171"/>
      <c r="AD28" s="172"/>
      <c r="AE28" s="173"/>
      <c r="AF28" s="174"/>
      <c r="AG28" s="175"/>
      <c r="AH28" s="176"/>
      <c r="AI28" s="177"/>
      <c r="AJ28" s="161"/>
      <c r="AK28" s="162"/>
      <c r="AL28" s="163"/>
      <c r="AM28" s="178"/>
      <c r="AN28" s="179"/>
      <c r="AO28" s="180"/>
      <c r="AP28" s="208"/>
      <c r="AQ28" s="209"/>
      <c r="AR28" s="210"/>
      <c r="AS28" s="211"/>
      <c r="AU28" s="136"/>
    </row>
    <row r="29" spans="1:52" ht="33.75" customHeight="1">
      <c r="A29" s="213" t="s">
        <v>51</v>
      </c>
      <c r="B29" s="214"/>
      <c r="C29" s="214"/>
      <c r="D29" s="214"/>
      <c r="E29" s="214"/>
      <c r="F29" s="214"/>
      <c r="G29" s="214"/>
      <c r="H29" s="214"/>
      <c r="I29" s="215"/>
      <c r="J29" s="212" t="s">
        <v>52</v>
      </c>
      <c r="K29" s="183"/>
      <c r="L29" s="183"/>
      <c r="M29" s="183"/>
      <c r="N29" s="183"/>
      <c r="O29" s="184"/>
      <c r="P29" s="216" t="s">
        <v>34</v>
      </c>
      <c r="Q29" s="217"/>
      <c r="R29" s="92"/>
      <c r="S29" s="93" t="s">
        <v>37</v>
      </c>
      <c r="T29" s="94">
        <v>5</v>
      </c>
      <c r="U29" s="95"/>
      <c r="V29" s="95"/>
      <c r="W29" s="95"/>
      <c r="X29" s="96">
        <v>5</v>
      </c>
      <c r="Y29" s="97" t="s">
        <v>36</v>
      </c>
      <c r="Z29" s="98">
        <v>4.5</v>
      </c>
      <c r="AA29" s="99"/>
      <c r="AB29" s="99"/>
      <c r="AC29" s="99"/>
      <c r="AD29" s="100"/>
      <c r="AE29" s="101" t="s">
        <v>35</v>
      </c>
      <c r="AF29" s="102">
        <v>4.5</v>
      </c>
      <c r="AG29" s="218">
        <f>'[1]Health Index'!Q37</f>
        <v>46029</v>
      </c>
      <c r="AH29" s="219"/>
      <c r="AI29" s="220"/>
      <c r="AJ29" s="199"/>
      <c r="AK29" s="259"/>
      <c r="AL29" s="260"/>
      <c r="AM29" s="188"/>
      <c r="AN29" s="200"/>
      <c r="AO29" s="189"/>
      <c r="AP29" s="208"/>
      <c r="AQ29" s="209"/>
      <c r="AR29" s="210"/>
      <c r="AS29" s="211"/>
      <c r="AU29" s="136"/>
    </row>
    <row r="30" spans="1:52" ht="38.25" customHeight="1">
      <c r="A30" s="221"/>
      <c r="B30" s="222"/>
      <c r="C30" s="222"/>
      <c r="D30" s="222"/>
      <c r="E30" s="222"/>
      <c r="F30" s="222"/>
      <c r="G30" s="222"/>
      <c r="H30" s="222"/>
      <c r="I30" s="223"/>
      <c r="J30" s="212" t="s">
        <v>53</v>
      </c>
      <c r="K30" s="183"/>
      <c r="L30" s="183"/>
      <c r="M30" s="183"/>
      <c r="N30" s="183"/>
      <c r="O30" s="184"/>
      <c r="P30" s="224"/>
      <c r="Q30" s="225"/>
      <c r="R30" s="92"/>
      <c r="S30" s="93" t="s">
        <v>37</v>
      </c>
      <c r="T30" s="94">
        <v>2</v>
      </c>
      <c r="U30" s="95"/>
      <c r="V30" s="95"/>
      <c r="W30" s="95"/>
      <c r="X30" s="96">
        <v>2</v>
      </c>
      <c r="Y30" s="97" t="s">
        <v>36</v>
      </c>
      <c r="Z30" s="98">
        <v>1.5</v>
      </c>
      <c r="AA30" s="99"/>
      <c r="AB30" s="99"/>
      <c r="AC30" s="99"/>
      <c r="AD30" s="100"/>
      <c r="AE30" s="101" t="s">
        <v>35</v>
      </c>
      <c r="AF30" s="102">
        <v>1.5</v>
      </c>
      <c r="AG30" s="226"/>
      <c r="AH30" s="227"/>
      <c r="AI30" s="228"/>
      <c r="AJ30" s="199"/>
      <c r="AK30" s="259"/>
      <c r="AL30" s="260"/>
      <c r="AM30" s="188"/>
      <c r="AN30" s="200"/>
      <c r="AO30" s="189"/>
      <c r="AP30" s="208"/>
      <c r="AQ30" s="209"/>
      <c r="AR30" s="210"/>
      <c r="AS30" s="211"/>
      <c r="AU30" s="136"/>
    </row>
    <row r="31" spans="1:52" ht="39" customHeight="1">
      <c r="A31" s="213" t="s">
        <v>54</v>
      </c>
      <c r="B31" s="214"/>
      <c r="C31" s="214"/>
      <c r="D31" s="214"/>
      <c r="E31" s="214"/>
      <c r="F31" s="214"/>
      <c r="G31" s="214"/>
      <c r="H31" s="214"/>
      <c r="I31" s="215"/>
      <c r="J31" s="212" t="s">
        <v>55</v>
      </c>
      <c r="K31" s="183"/>
      <c r="L31" s="183"/>
      <c r="M31" s="183"/>
      <c r="N31" s="183"/>
      <c r="O31" s="184"/>
      <c r="P31" s="216" t="s">
        <v>34</v>
      </c>
      <c r="Q31" s="217"/>
      <c r="R31" s="92"/>
      <c r="S31" s="93" t="s">
        <v>37</v>
      </c>
      <c r="T31" s="94">
        <f>IF(J15="Dry Type",5,1)</f>
        <v>1</v>
      </c>
      <c r="U31" s="95">
        <f>T31</f>
        <v>1</v>
      </c>
      <c r="V31" s="95" t="s">
        <v>36</v>
      </c>
      <c r="W31" s="95">
        <v>0.8</v>
      </c>
      <c r="X31" s="96">
        <v>0.8</v>
      </c>
      <c r="Y31" s="97" t="s">
        <v>36</v>
      </c>
      <c r="Z31" s="98">
        <v>0.6</v>
      </c>
      <c r="AA31" s="99">
        <v>0.6</v>
      </c>
      <c r="AB31" s="99" t="s">
        <v>36</v>
      </c>
      <c r="AC31" s="99">
        <f>AF31</f>
        <v>0.5</v>
      </c>
      <c r="AD31" s="100"/>
      <c r="AE31" s="101" t="s">
        <v>35</v>
      </c>
      <c r="AF31" s="102">
        <f>IF($J$3="Dry Type",2,IF($J$3="Natural Ester",1,IF($J$3="Synthetic Ester",1,IF($J$3="Mineral Oil",IF($O$2&lt;230,0.5,0.4)))))</f>
        <v>0.5</v>
      </c>
      <c r="AG31" s="218">
        <f>'[1]Health Index'!Q31</f>
        <v>46029</v>
      </c>
      <c r="AH31" s="219"/>
      <c r="AI31" s="220"/>
      <c r="AJ31" s="199"/>
      <c r="AK31" s="200"/>
      <c r="AL31" s="189"/>
      <c r="AM31" s="188"/>
      <c r="AN31" s="200"/>
      <c r="AO31" s="189"/>
      <c r="AP31" s="208"/>
      <c r="AQ31" s="209"/>
      <c r="AR31" s="210"/>
      <c r="AS31" s="211"/>
      <c r="AU31" s="136"/>
    </row>
    <row r="32" spans="1:52" ht="33.75" customHeight="1">
      <c r="A32" s="221"/>
      <c r="B32" s="222"/>
      <c r="C32" s="222"/>
      <c r="D32" s="222"/>
      <c r="E32" s="222"/>
      <c r="F32" s="222"/>
      <c r="G32" s="222"/>
      <c r="H32" s="222"/>
      <c r="I32" s="223"/>
      <c r="J32" s="212" t="s">
        <v>56</v>
      </c>
      <c r="K32" s="183"/>
      <c r="L32" s="183"/>
      <c r="M32" s="183"/>
      <c r="N32" s="183"/>
      <c r="O32" s="184"/>
      <c r="P32" s="224"/>
      <c r="Q32" s="225"/>
      <c r="R32" s="92"/>
      <c r="S32" s="93" t="s">
        <v>37</v>
      </c>
      <c r="T32" s="94">
        <v>10</v>
      </c>
      <c r="U32" s="95">
        <v>10</v>
      </c>
      <c r="V32" s="95" t="s">
        <v>36</v>
      </c>
      <c r="W32" s="95">
        <v>8</v>
      </c>
      <c r="X32" s="96">
        <v>8</v>
      </c>
      <c r="Y32" s="97" t="s">
        <v>36</v>
      </c>
      <c r="Z32" s="98">
        <v>6</v>
      </c>
      <c r="AA32" s="99">
        <v>6</v>
      </c>
      <c r="AB32" s="99" t="s">
        <v>36</v>
      </c>
      <c r="AC32" s="99">
        <v>5</v>
      </c>
      <c r="AD32" s="100"/>
      <c r="AE32" s="101" t="s">
        <v>35</v>
      </c>
      <c r="AF32" s="102">
        <v>5</v>
      </c>
      <c r="AG32" s="229"/>
      <c r="AH32" s="230"/>
      <c r="AI32" s="231"/>
      <c r="AJ32" s="199"/>
      <c r="AK32" s="259"/>
      <c r="AL32" s="260"/>
      <c r="AM32" s="188"/>
      <c r="AN32" s="200"/>
      <c r="AO32" s="189"/>
      <c r="AP32" s="208"/>
      <c r="AQ32" s="209"/>
      <c r="AR32" s="210"/>
      <c r="AS32" s="211"/>
      <c r="AU32" s="136"/>
    </row>
    <row r="33" spans="1:47" ht="34.5" customHeight="1" thickBot="1">
      <c r="A33" s="261" t="s">
        <v>57</v>
      </c>
      <c r="B33" s="262"/>
      <c r="C33" s="262"/>
      <c r="D33" s="262"/>
      <c r="E33" s="262"/>
      <c r="F33" s="262"/>
      <c r="G33" s="262"/>
      <c r="H33" s="262"/>
      <c r="I33" s="263"/>
      <c r="J33" s="264" t="s">
        <v>58</v>
      </c>
      <c r="K33" s="265"/>
      <c r="L33" s="265"/>
      <c r="M33" s="265"/>
      <c r="N33" s="265"/>
      <c r="O33" s="266"/>
      <c r="P33" s="267" t="s">
        <v>34</v>
      </c>
      <c r="Q33" s="268"/>
      <c r="R33" s="269"/>
      <c r="S33" s="270" t="s">
        <v>35</v>
      </c>
      <c r="T33" s="271">
        <v>1</v>
      </c>
      <c r="U33" s="272">
        <v>1</v>
      </c>
      <c r="V33" s="272" t="s">
        <v>36</v>
      </c>
      <c r="W33" s="272">
        <v>1.1000000000000001</v>
      </c>
      <c r="X33" s="273">
        <v>1.1000000000000001</v>
      </c>
      <c r="Y33" s="274" t="s">
        <v>36</v>
      </c>
      <c r="Z33" s="275">
        <v>1.1499999999999999</v>
      </c>
      <c r="AA33" s="276">
        <v>1.1499999999999999</v>
      </c>
      <c r="AB33" s="276" t="s">
        <v>36</v>
      </c>
      <c r="AC33" s="276">
        <v>1.25</v>
      </c>
      <c r="AD33" s="277"/>
      <c r="AE33" s="278" t="s">
        <v>37</v>
      </c>
      <c r="AF33" s="279">
        <v>1.25</v>
      </c>
      <c r="AG33" s="280">
        <f>'[1]Health Index'!Q25</f>
        <v>46029</v>
      </c>
      <c r="AH33" s="280"/>
      <c r="AI33" s="280"/>
      <c r="AJ33" s="281"/>
      <c r="AK33" s="282"/>
      <c r="AL33" s="268"/>
      <c r="AM33" s="267"/>
      <c r="AN33" s="282"/>
      <c r="AO33" s="268"/>
      <c r="AP33" s="283"/>
      <c r="AQ33" s="284"/>
      <c r="AR33" s="285"/>
      <c r="AS33" s="286"/>
      <c r="AU33" s="136"/>
    </row>
    <row r="34" spans="1:47" ht="42">
      <c r="A34" s="287" t="s">
        <v>62</v>
      </c>
      <c r="B34" s="288"/>
      <c r="C34" s="288"/>
      <c r="D34" s="288"/>
      <c r="E34" s="288"/>
      <c r="F34" s="288"/>
      <c r="G34" s="288"/>
      <c r="H34" s="288"/>
      <c r="I34" s="289"/>
      <c r="J34" s="290"/>
      <c r="K34" s="290"/>
      <c r="L34" s="290"/>
      <c r="M34" s="290"/>
      <c r="N34" s="290"/>
      <c r="O34" s="290"/>
      <c r="P34" s="290"/>
      <c r="Q34" s="290"/>
      <c r="R34" s="291"/>
      <c r="S34" s="292"/>
      <c r="T34" s="293"/>
      <c r="U34" s="294"/>
      <c r="V34" s="294"/>
      <c r="W34" s="294"/>
      <c r="X34" s="295"/>
      <c r="Y34" s="296"/>
      <c r="Z34" s="297"/>
      <c r="AA34" s="298"/>
      <c r="AB34" s="298"/>
      <c r="AC34" s="298"/>
      <c r="AD34" s="299"/>
      <c r="AE34" s="300"/>
      <c r="AF34" s="301"/>
      <c r="AG34" s="302"/>
      <c r="AH34" s="302"/>
      <c r="AI34" s="302"/>
      <c r="AJ34" s="303"/>
      <c r="AK34" s="304"/>
      <c r="AL34" s="305"/>
      <c r="AM34" s="306"/>
      <c r="AN34" s="307"/>
      <c r="AO34" s="308"/>
      <c r="AP34" s="306"/>
      <c r="AQ34" s="307"/>
      <c r="AR34" s="308"/>
      <c r="AS34" s="309"/>
      <c r="AU34" s="136"/>
    </row>
    <row r="35" spans="1:47" ht="39" customHeight="1">
      <c r="A35" s="310" t="s">
        <v>63</v>
      </c>
      <c r="B35" s="311"/>
      <c r="C35" s="311"/>
      <c r="D35" s="311"/>
      <c r="E35" s="311"/>
      <c r="F35" s="311"/>
      <c r="G35" s="311"/>
      <c r="H35" s="311"/>
      <c r="I35" s="311"/>
      <c r="J35" s="312"/>
      <c r="K35" s="313"/>
      <c r="L35" s="313"/>
      <c r="M35" s="313"/>
      <c r="N35" s="313"/>
      <c r="O35" s="314"/>
      <c r="P35" s="315" t="s">
        <v>64</v>
      </c>
      <c r="Q35" s="316"/>
      <c r="R35" s="317" t="s">
        <v>65</v>
      </c>
      <c r="S35" s="318"/>
      <c r="T35" s="319"/>
      <c r="U35" s="320"/>
      <c r="V35" s="320"/>
      <c r="W35" s="320"/>
      <c r="X35" s="321"/>
      <c r="Y35" s="322" t="s">
        <v>36</v>
      </c>
      <c r="Z35" s="323"/>
      <c r="AA35" s="123"/>
      <c r="AB35" s="123"/>
      <c r="AC35" s="123"/>
      <c r="AD35" s="324" t="s">
        <v>66</v>
      </c>
      <c r="AE35" s="325"/>
      <c r="AF35" s="326"/>
      <c r="AG35" s="327">
        <f>'[1]Health Index'!$AM$16</f>
        <v>45936</v>
      </c>
      <c r="AH35" s="328"/>
      <c r="AI35" s="329"/>
      <c r="AJ35" s="330"/>
      <c r="AK35" s="331"/>
      <c r="AL35" s="332"/>
      <c r="AM35" s="315"/>
      <c r="AN35" s="333"/>
      <c r="AO35" s="316"/>
      <c r="AP35" s="334">
        <v>5</v>
      </c>
      <c r="AQ35" s="335"/>
      <c r="AR35" s="336"/>
      <c r="AS35" s="337">
        <f>AM35*AP35</f>
        <v>0</v>
      </c>
      <c r="AU35" s="136" t="str" cm="1">
        <f t="array" ref="AU35">_xlfn.IFS(AM35&gt;3,"A",AM35=3,"Q",AM35&lt;3,"U")</f>
        <v>U</v>
      </c>
    </row>
    <row r="36" spans="1:47" ht="39" customHeight="1">
      <c r="A36" s="338" t="s">
        <v>67</v>
      </c>
      <c r="B36" s="339"/>
      <c r="C36" s="339"/>
      <c r="D36" s="339"/>
      <c r="E36" s="339"/>
      <c r="F36" s="339"/>
      <c r="G36" s="339"/>
      <c r="H36" s="339"/>
      <c r="I36" s="340"/>
      <c r="J36" s="341" t="s">
        <v>68</v>
      </c>
      <c r="K36" s="339"/>
      <c r="L36" s="339"/>
      <c r="M36" s="339"/>
      <c r="N36" s="339"/>
      <c r="O36" s="339"/>
      <c r="P36" s="342" t="s">
        <v>69</v>
      </c>
      <c r="Q36" s="343"/>
      <c r="R36" s="92"/>
      <c r="S36" s="93" t="s">
        <v>35</v>
      </c>
      <c r="T36" s="94" cm="1">
        <f t="array" ref="T36">IF($J$3="Mineral Oil",_xlfn.IFS($O$2&lt;69,[1]Std.MTOil!$S$49,$O$2=69,[1]Std.MTOil!$S$49,$O$2&lt;230,[1]Std.MTOil!$V$49,$O$2=230,[1]Std.MTOil!$Y$49,$O$2&gt;230,[1]Std.MTOil!$Y$49),_xlfn.IFS($O$2&lt;69,[1]Std.MTOil!$AP$33,$O$2=69,[1]Std.MTOil!$AP$33,$O$2&lt;230,[1]Std.MTOil!$AR$33,$O$2=230,[1]Std.MTOil!$AT$33,$O$2&gt;230,[1]Std.MTOil!$AT$33))</f>
        <v>40</v>
      </c>
      <c r="U36" s="95"/>
      <c r="V36" s="95"/>
      <c r="W36" s="95"/>
      <c r="X36" s="96">
        <f>T36</f>
        <v>40</v>
      </c>
      <c r="Y36" s="97" t="s">
        <v>36</v>
      </c>
      <c r="Z36" s="98">
        <f>AF36</f>
        <v>45</v>
      </c>
      <c r="AA36" s="99"/>
      <c r="AB36" s="99"/>
      <c r="AC36" s="99"/>
      <c r="AD36" s="100"/>
      <c r="AE36" s="101" t="s">
        <v>37</v>
      </c>
      <c r="AF36" s="102" cm="1">
        <f t="array" ref="AF36">IF($J$3="Mineral Oil",_xlfn.IFS($O$2&lt;69,[1]Std.MTOil!$Q$49,$O$2=69,[1]Std.MTOil!$T$49,$O$2&lt;230,[1]Std.MTOil!$T$49,$O$2=230,[1]Std.MTOil!$W$49,$O$2&gt;230,[1]Std.MTOil!$W$49),_xlfn.IFS($O$2&lt;69,[1]Std.MTOil!$AY$33,$O$2=69,[1]Std.MTOil!$AY$33,$O$2&lt;230,[1]Std.MTOil!$BB$33,$O$2=230,[1]Std.MTOil!$BE$33,$O$2&gt;230,[1]Std.MTOil!$BE$33))</f>
        <v>45</v>
      </c>
      <c r="AG36" s="344"/>
      <c r="AH36" s="345"/>
      <c r="AI36" s="346"/>
      <c r="AJ36" s="315"/>
      <c r="AK36" s="333"/>
      <c r="AL36" s="316"/>
      <c r="AM36" s="315"/>
      <c r="AN36" s="333"/>
      <c r="AO36" s="316"/>
      <c r="AP36" s="347">
        <v>10</v>
      </c>
      <c r="AQ36" s="348"/>
      <c r="AR36" s="349"/>
      <c r="AS36" s="350">
        <f>MIN(AM36:AO51)*AP36</f>
        <v>0</v>
      </c>
      <c r="AU36" s="136" t="str" cm="1">
        <f t="array" ref="AU36">_xlfn.IFS(AM36&gt;3,"A",AM36=3,"Q",AM36&lt;3,"U")</f>
        <v>U</v>
      </c>
    </row>
    <row r="37" spans="1:47" ht="44.25" customHeight="1">
      <c r="A37" s="351" t="s">
        <v>70</v>
      </c>
      <c r="B37" s="352"/>
      <c r="C37" s="352"/>
      <c r="D37" s="352"/>
      <c r="E37" s="352"/>
      <c r="F37" s="352"/>
      <c r="G37" s="352"/>
      <c r="H37" s="352"/>
      <c r="I37" s="353"/>
      <c r="J37" s="354" t="s">
        <v>71</v>
      </c>
      <c r="K37" s="355"/>
      <c r="L37" s="355"/>
      <c r="M37" s="355"/>
      <c r="N37" s="355"/>
      <c r="O37" s="356"/>
      <c r="P37" s="357"/>
      <c r="Q37" s="358"/>
      <c r="R37" s="92"/>
      <c r="S37" s="93" t="s">
        <v>37</v>
      </c>
      <c r="T37" s="94">
        <f>IF($J$3="Mineral Oil",[1]Std.MTOil!$S$51,[1]Std.MTOil!$BA$35)</f>
        <v>0.5</v>
      </c>
      <c r="U37" s="95"/>
      <c r="V37" s="95"/>
      <c r="W37" s="95"/>
      <c r="X37" s="96">
        <f>T37</f>
        <v>0.5</v>
      </c>
      <c r="Y37" s="97" t="s">
        <v>36</v>
      </c>
      <c r="Z37" s="98">
        <f>AF37</f>
        <v>0.4</v>
      </c>
      <c r="AA37" s="99"/>
      <c r="AB37" s="99"/>
      <c r="AC37" s="99"/>
      <c r="AD37" s="100"/>
      <c r="AE37" s="101" t="s">
        <v>35</v>
      </c>
      <c r="AF37" s="102">
        <f>IF($J$3="Mineral Oil",[1]Std.MTOil!Q51,[1]Std.MTOil!$AY$35)</f>
        <v>0.4</v>
      </c>
      <c r="AG37" s="344"/>
      <c r="AH37" s="345"/>
      <c r="AI37" s="346"/>
      <c r="AJ37" s="359"/>
      <c r="AK37" s="360"/>
      <c r="AL37" s="361"/>
      <c r="AM37" s="315"/>
      <c r="AN37" s="333"/>
      <c r="AO37" s="316"/>
      <c r="AP37" s="347"/>
      <c r="AQ37" s="348"/>
      <c r="AR37" s="349"/>
      <c r="AS37" s="362"/>
      <c r="AU37" s="136" t="str" cm="1">
        <f t="array" ref="AU37">_xlfn.IFS(AM37&gt;3,"A",AM37=3,"Q",AM37&lt;3,"U")</f>
        <v>U</v>
      </c>
    </row>
    <row r="38" spans="1:47" ht="44.25" customHeight="1">
      <c r="A38" s="351" t="s">
        <v>72</v>
      </c>
      <c r="B38" s="352"/>
      <c r="C38" s="352"/>
      <c r="D38" s="352"/>
      <c r="E38" s="352"/>
      <c r="F38" s="352"/>
      <c r="G38" s="352"/>
      <c r="H38" s="352"/>
      <c r="I38" s="353"/>
      <c r="J38" s="341"/>
      <c r="K38" s="339"/>
      <c r="L38" s="339"/>
      <c r="M38" s="339"/>
      <c r="N38" s="339"/>
      <c r="O38" s="340"/>
      <c r="P38" s="357"/>
      <c r="Q38" s="358"/>
      <c r="R38" s="92"/>
      <c r="S38" s="93" t="s">
        <v>37</v>
      </c>
      <c r="T38" s="94">
        <f>IF($J$3="Mineral Oil",[1]Std.MTOil!$S$52,[1]Std.MTOil!BA36)</f>
        <v>5</v>
      </c>
      <c r="U38" s="95"/>
      <c r="V38" s="95"/>
      <c r="W38" s="95"/>
      <c r="X38" s="96">
        <f>T38</f>
        <v>5</v>
      </c>
      <c r="Y38" s="97" t="s">
        <v>36</v>
      </c>
      <c r="Z38" s="98">
        <f>AF38</f>
        <v>4</v>
      </c>
      <c r="AA38" s="99"/>
      <c r="AB38" s="99"/>
      <c r="AC38" s="99"/>
      <c r="AD38" s="100"/>
      <c r="AE38" s="101" t="s">
        <v>35</v>
      </c>
      <c r="AF38" s="102">
        <f>IF($J$3="Mineral Oil",[1]Std.MTOil!$Q$52,[1]Std.MTOil!$AY$36)</f>
        <v>4</v>
      </c>
      <c r="AG38" s="344"/>
      <c r="AH38" s="345"/>
      <c r="AI38" s="346"/>
      <c r="AJ38" s="315"/>
      <c r="AK38" s="333"/>
      <c r="AL38" s="316"/>
      <c r="AM38" s="315"/>
      <c r="AN38" s="333"/>
      <c r="AO38" s="316"/>
      <c r="AP38" s="347"/>
      <c r="AQ38" s="348"/>
      <c r="AR38" s="349"/>
      <c r="AS38" s="362"/>
      <c r="AU38" s="136" t="str" cm="1">
        <f t="array" ref="AU38">_xlfn.IFS(AM38&gt;3,"A",AM38=3,"Q",AM38&lt;3,"U")</f>
        <v>U</v>
      </c>
    </row>
    <row r="39" spans="1:47" ht="39" customHeight="1">
      <c r="A39" s="351" t="s">
        <v>73</v>
      </c>
      <c r="B39" s="352"/>
      <c r="C39" s="352"/>
      <c r="D39" s="352"/>
      <c r="E39" s="352"/>
      <c r="F39" s="352"/>
      <c r="G39" s="352"/>
      <c r="H39" s="352"/>
      <c r="I39" s="353"/>
      <c r="J39" s="363" t="s">
        <v>36</v>
      </c>
      <c r="K39" s="352"/>
      <c r="L39" s="352"/>
      <c r="M39" s="352"/>
      <c r="N39" s="352"/>
      <c r="O39" s="352"/>
      <c r="P39" s="364" t="s">
        <v>74</v>
      </c>
      <c r="Q39" s="364"/>
      <c r="R39" s="92"/>
      <c r="S39" s="93" t="s">
        <v>37</v>
      </c>
      <c r="T39" s="94">
        <f>IF($J$3="Mineral Oil",[1]Std.MTOil!$S$53,[1]Std.MTOil!BA37)</f>
        <v>5</v>
      </c>
      <c r="U39" s="95"/>
      <c r="V39" s="95"/>
      <c r="W39" s="95"/>
      <c r="X39" s="96">
        <f>T39</f>
        <v>5</v>
      </c>
      <c r="Y39" s="97" t="s">
        <v>36</v>
      </c>
      <c r="Z39" s="98">
        <f>AF39</f>
        <v>4</v>
      </c>
      <c r="AA39" s="99"/>
      <c r="AB39" s="99"/>
      <c r="AC39" s="99"/>
      <c r="AD39" s="100"/>
      <c r="AE39" s="101" t="s">
        <v>35</v>
      </c>
      <c r="AF39" s="102">
        <f>IF($J$3="Mineral Oil",[1]Std.MTOil!$Q$53,[1]Std.MTOil!$AY$37)</f>
        <v>4</v>
      </c>
      <c r="AG39" s="344"/>
      <c r="AH39" s="345"/>
      <c r="AI39" s="346"/>
      <c r="AJ39" s="315"/>
      <c r="AK39" s="333"/>
      <c r="AL39" s="316"/>
      <c r="AM39" s="315"/>
      <c r="AN39" s="333"/>
      <c r="AO39" s="316"/>
      <c r="AP39" s="347"/>
      <c r="AQ39" s="348"/>
      <c r="AR39" s="349"/>
      <c r="AS39" s="362"/>
      <c r="AU39" s="136" t="str" cm="1">
        <f t="array" ref="AU39">_xlfn.IFS(AM39&gt;3,"A",AM39=3,"Q",AM39&lt;3,"U")</f>
        <v>U</v>
      </c>
    </row>
    <row r="40" spans="1:47" ht="39" customHeight="1">
      <c r="A40" s="351" t="s">
        <v>75</v>
      </c>
      <c r="B40" s="352"/>
      <c r="C40" s="352"/>
      <c r="D40" s="352"/>
      <c r="E40" s="352"/>
      <c r="F40" s="352"/>
      <c r="G40" s="352"/>
      <c r="H40" s="352"/>
      <c r="I40" s="353"/>
      <c r="J40" s="363" t="s">
        <v>76</v>
      </c>
      <c r="K40" s="352"/>
      <c r="L40" s="352"/>
      <c r="M40" s="352"/>
      <c r="N40" s="352"/>
      <c r="O40" s="352"/>
      <c r="P40" s="364" t="s">
        <v>69</v>
      </c>
      <c r="Q40" s="364"/>
      <c r="R40" s="92"/>
      <c r="S40" s="93" t="s">
        <v>37</v>
      </c>
      <c r="T40" s="94" cm="1">
        <f t="array" ref="T40">IF($J$3="Mineral Oil",_xlfn.IFS($O$2&lt;69,[1]Std.MTOil!$S$54,$O$2=69,[1]Std.MTOil!$S$54,$O$2&lt;230,[1]Std.MTOil!$V$54,$O$2=230,[1]Std.MTOil!$Y$54,$O$2&gt;230,[1]Std.MTOil!$Y$54),_xlfn.IFS($O$2&lt;69,[1]Std.MTOil!$BA$38,$O$2=69,[1]Std.MTOil!$BA$38,$O$2&lt;230,[1]Std.MTOil!$BD$38,$O$2=230,[1]Std.MTOil!$BG$38,$O$2&gt;230,[1]Std.MTOil!$BG$38))</f>
        <v>35</v>
      </c>
      <c r="U40" s="95"/>
      <c r="V40" s="95"/>
      <c r="W40" s="95"/>
      <c r="X40" s="96">
        <f t="shared" ref="X40:X50" si="0">T40</f>
        <v>35</v>
      </c>
      <c r="Y40" s="97" t="s">
        <v>36</v>
      </c>
      <c r="Z40" s="98">
        <f>AF40</f>
        <v>30</v>
      </c>
      <c r="AA40" s="99"/>
      <c r="AB40" s="99"/>
      <c r="AC40" s="99"/>
      <c r="AD40" s="100"/>
      <c r="AE40" s="101" t="s">
        <v>35</v>
      </c>
      <c r="AF40" s="102" cm="1">
        <f t="array" ref="AF40">IF($J$3="Mineral Oil",_xlfn.IFS($O$2&lt;69,[1]Std.MTOil!$Q$54,$O$2=69,[1]Std.MTOil!$Q$54,$O$2&lt;230,[1]Std.MTOil!$T$54,$O$2=230,[1]Std.MTOil!$W$54,$O$2&gt;230,[1]Std.MTOil!$W$54),_xlfn.IFS($O$2&lt;69,[1]Std.MTOil!$AY$38,$O$2=69,[1]Std.MTOil!$AY$38,$O$2&lt;230,[1]Std.MTOil!$BB$38,$O$2=230,[1]Std.MTOil!$BE$38,$O$2&gt;230,[1]Std.MTOil!$BE$38))</f>
        <v>30</v>
      </c>
      <c r="AG40" s="344"/>
      <c r="AH40" s="345"/>
      <c r="AI40" s="346"/>
      <c r="AJ40" s="315"/>
      <c r="AK40" s="333"/>
      <c r="AL40" s="316"/>
      <c r="AM40" s="315"/>
      <c r="AN40" s="333"/>
      <c r="AO40" s="316"/>
      <c r="AP40" s="347"/>
      <c r="AQ40" s="348"/>
      <c r="AR40" s="349"/>
      <c r="AS40" s="362"/>
      <c r="AU40" s="136" t="str" cm="1">
        <f t="array" ref="AU40">_xlfn.IFS(AM40&gt;3,"A",AM40=3,"Q",AM40&lt;3,"U")</f>
        <v>U</v>
      </c>
    </row>
    <row r="41" spans="1:47" ht="39" customHeight="1">
      <c r="A41" s="351" t="s">
        <v>77</v>
      </c>
      <c r="B41" s="352"/>
      <c r="C41" s="352"/>
      <c r="D41" s="352"/>
      <c r="E41" s="352"/>
      <c r="F41" s="352"/>
      <c r="G41" s="352"/>
      <c r="H41" s="352"/>
      <c r="I41" s="353"/>
      <c r="J41" s="363" t="s">
        <v>78</v>
      </c>
      <c r="K41" s="352"/>
      <c r="L41" s="352"/>
      <c r="M41" s="352"/>
      <c r="N41" s="352"/>
      <c r="O41" s="352"/>
      <c r="P41" s="364"/>
      <c r="Q41" s="364"/>
      <c r="R41" s="92"/>
      <c r="S41" s="93" t="s">
        <v>37</v>
      </c>
      <c r="T41" s="365">
        <v>2.5</v>
      </c>
      <c r="U41" s="366"/>
      <c r="V41" s="366"/>
      <c r="W41" s="366"/>
      <c r="X41" s="367">
        <f t="shared" si="0"/>
        <v>2.5</v>
      </c>
      <c r="Y41" s="97" t="s">
        <v>36</v>
      </c>
      <c r="Z41" s="247">
        <v>2</v>
      </c>
      <c r="AA41" s="368"/>
      <c r="AB41" s="368"/>
      <c r="AC41" s="368"/>
      <c r="AD41" s="100"/>
      <c r="AE41" s="101" t="s">
        <v>35</v>
      </c>
      <c r="AF41" s="369">
        <v>2</v>
      </c>
      <c r="AG41" s="344"/>
      <c r="AH41" s="345"/>
      <c r="AI41" s="346"/>
      <c r="AJ41" s="315"/>
      <c r="AK41" s="333"/>
      <c r="AL41" s="316"/>
      <c r="AM41" s="315"/>
      <c r="AN41" s="333"/>
      <c r="AO41" s="316"/>
      <c r="AP41" s="347"/>
      <c r="AQ41" s="348"/>
      <c r="AR41" s="349"/>
      <c r="AS41" s="362"/>
      <c r="AU41" s="136" t="str" cm="1">
        <f t="array" ref="AU41">_xlfn.IFS(AM41&gt;3,"A",AM41=3,"Q",AM41&lt;3,"U")</f>
        <v>U</v>
      </c>
    </row>
    <row r="42" spans="1:47" ht="39" customHeight="1">
      <c r="A42" s="351" t="s">
        <v>79</v>
      </c>
      <c r="B42" s="352"/>
      <c r="C42" s="352"/>
      <c r="D42" s="352"/>
      <c r="E42" s="352"/>
      <c r="F42" s="352"/>
      <c r="G42" s="352"/>
      <c r="H42" s="352"/>
      <c r="I42" s="353"/>
      <c r="J42" s="363" t="s">
        <v>80</v>
      </c>
      <c r="K42" s="352"/>
      <c r="L42" s="352"/>
      <c r="M42" s="352"/>
      <c r="N42" s="352"/>
      <c r="O42" s="352"/>
      <c r="P42" s="364"/>
      <c r="Q42" s="364"/>
      <c r="R42" s="92"/>
      <c r="S42" s="93" t="s">
        <v>35</v>
      </c>
      <c r="T42" s="94" cm="1">
        <f t="array" ref="T42">IF($J$3="Mineral Oil",_xlfn.IFS($O$3&lt;69,[1]Std.MTOil!$S$58,$O$3=69,[1]Std.MTOil!$S$58,$O$3&lt;230,[1]Std.MTOil!$V$58,$O$3=230,[1]Std.MTOil!$Y$58,$O$3&gt;230,[1]Std.MTOil!$Y$58),_xlfn.IFS($O$3&lt;69,[1]Std.MTOil!$BA$42,$O$3=69,[1]Std.MTOil!$BA$42,$O$3&lt;230,[1]Std.MTOil!$BD$42,$O$3=230,[1]Std.MTOil!$BD$42,$O$3&gt;230,[1]Std.MTOil!$BG$42))</f>
        <v>30</v>
      </c>
      <c r="U42" s="95"/>
      <c r="V42" s="95"/>
      <c r="W42" s="95"/>
      <c r="X42" s="96">
        <f t="shared" si="0"/>
        <v>30</v>
      </c>
      <c r="Y42" s="97" t="s">
        <v>36</v>
      </c>
      <c r="Z42" s="98">
        <f t="shared" ref="Z42:Z50" si="1">AF42</f>
        <v>33</v>
      </c>
      <c r="AA42" s="99"/>
      <c r="AB42" s="99"/>
      <c r="AC42" s="99"/>
      <c r="AD42" s="100"/>
      <c r="AE42" s="101" t="s">
        <v>37</v>
      </c>
      <c r="AF42" s="102" cm="1">
        <f t="array" ref="AF42">IF($J$3="Mineral Oil",_xlfn.IFS($O$3&lt;69,[1]Std.MTOil!$Q$58,$O$3=69,[1]Std.MTOil!$Q$58,$O$3&lt;230,[1]Std.MTOil!$T$58,$O$3=230,[1]Std.MTOil!$W$58,$O$3&gt;230,[1]Std.MTOil!$W$58),_xlfn.IFS($O$3&lt;69,[1]Std.MTOil!$AY$42,$O$3=69,[1]Std.MTOil!$AY$42,$O$3&lt;230,[1]Std.MTOil!$BB$42,$O$3=230,[1]Std.MTOil!$BE$42,$O$3&gt;230,[1]Std.MTOil!$BE$42))</f>
        <v>33</v>
      </c>
      <c r="AG42" s="344"/>
      <c r="AH42" s="345"/>
      <c r="AI42" s="346"/>
      <c r="AJ42" s="315"/>
      <c r="AK42" s="333"/>
      <c r="AL42" s="316"/>
      <c r="AM42" s="315"/>
      <c r="AN42" s="333"/>
      <c r="AO42" s="316"/>
      <c r="AP42" s="347"/>
      <c r="AQ42" s="348"/>
      <c r="AR42" s="349"/>
      <c r="AS42" s="362"/>
      <c r="AU42" s="136" t="str" cm="1">
        <f t="array" ref="AU42">_xlfn.IFS(AM42&gt;3,"A",AM42=3,"Q",AM42&lt;3,"U")</f>
        <v>U</v>
      </c>
    </row>
    <row r="43" spans="1:47" ht="39" customHeight="1">
      <c r="A43" s="351" t="s">
        <v>81</v>
      </c>
      <c r="B43" s="352"/>
      <c r="C43" s="352"/>
      <c r="D43" s="352"/>
      <c r="E43" s="352"/>
      <c r="F43" s="352"/>
      <c r="G43" s="352"/>
      <c r="H43" s="352"/>
      <c r="I43" s="353"/>
      <c r="J43" s="363" t="s">
        <v>82</v>
      </c>
      <c r="K43" s="352"/>
      <c r="L43" s="352"/>
      <c r="M43" s="352"/>
      <c r="N43" s="352"/>
      <c r="O43" s="352"/>
      <c r="P43" s="364"/>
      <c r="Q43" s="364"/>
      <c r="R43" s="92"/>
      <c r="S43" s="93" t="s">
        <v>37</v>
      </c>
      <c r="T43" s="370" cm="1">
        <f t="array" ref="T43">IF($J$3="Mineral Oil",_xlfn.IFS($O$2&lt;69,[1]Std.MTOil!$S$59,$O$2=69,[1]Std.MTOil!$S$59,$O$2&lt;230,[1]Std.MTOil!$V$59,$O$2=230,[1]Std.MTOil!$Y$59,$O$2&gt;230,[1]Std.MTOil!$Y$59),[1]Std.MTOil!$BA$43)</f>
        <v>0.2</v>
      </c>
      <c r="U43" s="366"/>
      <c r="V43" s="366"/>
      <c r="W43" s="366"/>
      <c r="X43" s="371">
        <f t="shared" si="0"/>
        <v>0.2</v>
      </c>
      <c r="Y43" s="97" t="s">
        <v>36</v>
      </c>
      <c r="Z43" s="372">
        <f t="shared" si="1"/>
        <v>0.17</v>
      </c>
      <c r="AA43" s="368"/>
      <c r="AB43" s="368"/>
      <c r="AC43" s="368"/>
      <c r="AD43" s="100"/>
      <c r="AE43" s="101" t="s">
        <v>35</v>
      </c>
      <c r="AF43" s="373" cm="1">
        <f t="array" ref="AF43">IF($J$3="Mineral Oil",_xlfn.IFS($O$2&lt;69,[1]Std.MTOil!$Q$59,$O$2=69,[1]Std.MTOil!$Q$59,$O$2&lt;230,[1]Std.MTOil!$T$59,$O$2=230,[1]Std.MTOil!$W$59,$O$2&gt;230,[1]Std.MTOil!$W$59),[1]Std.MTOil!$AY$43)</f>
        <v>0.17</v>
      </c>
      <c r="AG43" s="344"/>
      <c r="AH43" s="345"/>
      <c r="AI43" s="346"/>
      <c r="AJ43" s="374"/>
      <c r="AK43" s="375"/>
      <c r="AL43" s="376"/>
      <c r="AM43" s="315"/>
      <c r="AN43" s="333"/>
      <c r="AO43" s="316"/>
      <c r="AP43" s="347"/>
      <c r="AQ43" s="348"/>
      <c r="AR43" s="349"/>
      <c r="AS43" s="362"/>
      <c r="AU43" s="136" t="str" cm="1">
        <f t="array" ref="AU43">_xlfn.IFS(AM43&gt;3,"A",AM43=3,"Q",AM43&lt;3,"U")</f>
        <v>U</v>
      </c>
    </row>
    <row r="44" spans="1:47" ht="39" customHeight="1">
      <c r="A44" s="351" t="s">
        <v>83</v>
      </c>
      <c r="B44" s="352"/>
      <c r="C44" s="352"/>
      <c r="D44" s="352"/>
      <c r="E44" s="352"/>
      <c r="F44" s="352"/>
      <c r="G44" s="352"/>
      <c r="H44" s="352"/>
      <c r="I44" s="353"/>
      <c r="J44" s="363" t="s">
        <v>36</v>
      </c>
      <c r="K44" s="352"/>
      <c r="L44" s="352"/>
      <c r="M44" s="352"/>
      <c r="N44" s="352"/>
      <c r="O44" s="352"/>
      <c r="P44" s="364" t="s">
        <v>84</v>
      </c>
      <c r="Q44" s="364"/>
      <c r="R44" s="377"/>
      <c r="S44" s="93" t="s">
        <v>35</v>
      </c>
      <c r="T44" s="94">
        <f>IF($J$3="Mineral Oil",300,"-")</f>
        <v>300</v>
      </c>
      <c r="U44" s="320"/>
      <c r="V44" s="320"/>
      <c r="W44" s="320"/>
      <c r="X44" s="378">
        <f t="shared" si="0"/>
        <v>300</v>
      </c>
      <c r="Y44" s="75" t="s">
        <v>36</v>
      </c>
      <c r="Z44" s="379">
        <f t="shared" si="1"/>
        <v>400</v>
      </c>
      <c r="AA44" s="123"/>
      <c r="AB44" s="123"/>
      <c r="AC44" s="123"/>
      <c r="AD44" s="78"/>
      <c r="AE44" s="79" t="s">
        <v>37</v>
      </c>
      <c r="AF44" s="125">
        <f>IF($J$3="Mineral Oil",400,"-")</f>
        <v>400</v>
      </c>
      <c r="AG44" s="344"/>
      <c r="AH44" s="345"/>
      <c r="AI44" s="346"/>
      <c r="AJ44" s="380"/>
      <c r="AK44" s="381"/>
      <c r="AL44" s="382"/>
      <c r="AM44" s="315"/>
      <c r="AN44" s="333"/>
      <c r="AO44" s="316"/>
      <c r="AP44" s="347"/>
      <c r="AQ44" s="348"/>
      <c r="AR44" s="349"/>
      <c r="AS44" s="362"/>
      <c r="AU44" s="136"/>
    </row>
    <row r="45" spans="1:47" ht="39" customHeight="1">
      <c r="A45" s="383" t="s">
        <v>85</v>
      </c>
      <c r="B45" s="355"/>
      <c r="C45" s="355"/>
      <c r="D45" s="355"/>
      <c r="E45" s="355"/>
      <c r="F45" s="355"/>
      <c r="G45" s="355"/>
      <c r="H45" s="355"/>
      <c r="I45" s="355"/>
      <c r="J45" s="363" t="s">
        <v>36</v>
      </c>
      <c r="K45" s="352"/>
      <c r="L45" s="352"/>
      <c r="M45" s="352"/>
      <c r="N45" s="352"/>
      <c r="O45" s="352"/>
      <c r="P45" s="315" t="s">
        <v>86</v>
      </c>
      <c r="Q45" s="316"/>
      <c r="R45" s="377"/>
      <c r="S45" s="93" t="s">
        <v>37</v>
      </c>
      <c r="T45" s="384">
        <f>IF($J$3="Mineral Oil",[1]Std.MTOil!$S$62,[1]Std.MTOil!$BA$46)</f>
        <v>0.02</v>
      </c>
      <c r="U45" s="385"/>
      <c r="V45" s="95"/>
      <c r="W45" s="386"/>
      <c r="X45" s="387">
        <f>T45</f>
        <v>0.02</v>
      </c>
      <c r="Y45" s="75" t="s">
        <v>36</v>
      </c>
      <c r="Z45" s="388">
        <f t="shared" si="1"/>
        <v>1.7999999999999999E-2</v>
      </c>
      <c r="AA45" s="389"/>
      <c r="AB45" s="99"/>
      <c r="AC45" s="390"/>
      <c r="AD45" s="391"/>
      <c r="AE45" s="79" t="s">
        <v>35</v>
      </c>
      <c r="AF45" s="392">
        <f>IF($J$3="Mineral Oil",[1]Std.MTOil!$Q$62,[1]Std.MTOil!AY46)</f>
        <v>1.7999999999999999E-2</v>
      </c>
      <c r="AG45" s="344"/>
      <c r="AH45" s="345"/>
      <c r="AI45" s="346"/>
      <c r="AJ45" s="315"/>
      <c r="AK45" s="333"/>
      <c r="AL45" s="316"/>
      <c r="AM45" s="315"/>
      <c r="AN45" s="333"/>
      <c r="AO45" s="316"/>
      <c r="AP45" s="347"/>
      <c r="AQ45" s="348"/>
      <c r="AR45" s="349"/>
      <c r="AS45" s="362"/>
      <c r="AU45" s="136" t="str" cm="1">
        <f t="array" ref="AU45">_xlfn.IFS(AM45&gt;3,"A",AM45=3,"Q",AM45&lt;3,"U")</f>
        <v>U</v>
      </c>
    </row>
    <row r="46" spans="1:47" ht="39" customHeight="1">
      <c r="A46" s="383" t="s">
        <v>87</v>
      </c>
      <c r="B46" s="355"/>
      <c r="C46" s="355"/>
      <c r="D46" s="355"/>
      <c r="E46" s="355"/>
      <c r="F46" s="355"/>
      <c r="G46" s="355"/>
      <c r="H46" s="355"/>
      <c r="I46" s="355"/>
      <c r="J46" s="363" t="s">
        <v>36</v>
      </c>
      <c r="K46" s="352"/>
      <c r="L46" s="352"/>
      <c r="M46" s="352"/>
      <c r="N46" s="352"/>
      <c r="O46" s="352"/>
      <c r="P46" s="357" t="s">
        <v>88</v>
      </c>
      <c r="Q46" s="358"/>
      <c r="R46" s="92"/>
      <c r="S46" s="93" t="s">
        <v>35</v>
      </c>
      <c r="T46" s="370">
        <v>0.08</v>
      </c>
      <c r="U46" s="385"/>
      <c r="V46" s="95"/>
      <c r="W46" s="386"/>
      <c r="X46" s="393">
        <f t="shared" ref="X46:X56" si="2">T46</f>
        <v>0.08</v>
      </c>
      <c r="Y46" s="97" t="s">
        <v>36</v>
      </c>
      <c r="Z46" s="372">
        <f t="shared" si="1"/>
        <v>0.1</v>
      </c>
      <c r="AA46" s="99"/>
      <c r="AB46" s="99"/>
      <c r="AC46" s="390"/>
      <c r="AD46" s="101"/>
      <c r="AE46" s="101" t="s">
        <v>37</v>
      </c>
      <c r="AF46" s="373">
        <v>0.1</v>
      </c>
      <c r="AG46" s="344"/>
      <c r="AH46" s="345"/>
      <c r="AI46" s="346"/>
      <c r="AJ46" s="315"/>
      <c r="AK46" s="333"/>
      <c r="AL46" s="316"/>
      <c r="AM46" s="315"/>
      <c r="AN46" s="333"/>
      <c r="AO46" s="316"/>
      <c r="AP46" s="347"/>
      <c r="AQ46" s="348"/>
      <c r="AR46" s="349"/>
      <c r="AS46" s="362"/>
      <c r="AU46" s="136" t="str" cm="1">
        <f t="array" ref="AU46">_xlfn.IFS(AM46&gt;3,"A",AM46=3,"Q",AM46&lt;3,"U")</f>
        <v>U</v>
      </c>
    </row>
    <row r="47" spans="1:47" ht="39" customHeight="1">
      <c r="A47" s="351" t="s">
        <v>89</v>
      </c>
      <c r="B47" s="352"/>
      <c r="C47" s="352"/>
      <c r="D47" s="352"/>
      <c r="E47" s="352"/>
      <c r="F47" s="352"/>
      <c r="G47" s="352"/>
      <c r="H47" s="352"/>
      <c r="I47" s="353"/>
      <c r="J47" s="363" t="s">
        <v>90</v>
      </c>
      <c r="K47" s="352"/>
      <c r="L47" s="352"/>
      <c r="M47" s="352"/>
      <c r="N47" s="352"/>
      <c r="O47" s="353"/>
      <c r="P47" s="315" t="s">
        <v>69</v>
      </c>
      <c r="Q47" s="316"/>
      <c r="R47" s="394" cm="1">
        <f t="array" ref="R47">IFERROR(_xlfn.IFS(T47="1a",1,T47="1b",2,T47="2a",3,T47="2b",4,T47="2c",5,T47="2d",6,T47="2e",7,T47="3a",8,T47="3b",9,T47="4a",10,T47="4b",11,T47="4c",12),"")</f>
        <v>10</v>
      </c>
      <c r="S47" s="93" t="s">
        <v>37</v>
      </c>
      <c r="T47" s="370" t="str">
        <f>IF($J$3="Mineral Oil",[1]Std.MTOil!$S$60,[1]Std.MTOil!$BA$44)</f>
        <v>4a</v>
      </c>
      <c r="U47" s="385"/>
      <c r="V47" s="95"/>
      <c r="W47" s="386"/>
      <c r="X47" s="393" t="str">
        <f>T47</f>
        <v>4a</v>
      </c>
      <c r="Y47" s="97"/>
      <c r="Z47" s="372" t="str">
        <f t="shared" si="1"/>
        <v>3a</v>
      </c>
      <c r="AA47" s="99"/>
      <c r="AB47" s="99"/>
      <c r="AC47" s="390"/>
      <c r="AD47" s="395" cm="1">
        <f t="array" ref="AD47">IFERROR(_xlfn.IFS(AF47="1a",1,AF47="1b",2,AF47="2a",3,AF47="2b",4,AF47="2c",5,AF47="2d",6,AF47="2e",7,AF47="3a",8,AF47="3b",9,AF47="4a",10,AF47="4b",11,AF47="4c",12),"")</f>
        <v>8</v>
      </c>
      <c r="AE47" s="101" t="s">
        <v>35</v>
      </c>
      <c r="AF47" s="373" t="str">
        <f>IF($J$3="Mineral Oil",[1]Std.MTOil!$Q$60,[1]Std.MTOil!$AY$44)</f>
        <v>3a</v>
      </c>
      <c r="AG47" s="344"/>
      <c r="AH47" s="345"/>
      <c r="AI47" s="346"/>
      <c r="AJ47" s="396"/>
      <c r="AK47" s="397"/>
      <c r="AL47" s="398"/>
      <c r="AM47" s="315"/>
      <c r="AN47" s="333"/>
      <c r="AO47" s="316"/>
      <c r="AP47" s="347"/>
      <c r="AQ47" s="348"/>
      <c r="AR47" s="349"/>
      <c r="AS47" s="362"/>
      <c r="AU47" s="136" t="str" cm="1">
        <f t="array" ref="AU47">_xlfn.IFS(AM47&gt;3,"A",AM47=3,"Q",AM47&lt;3,"U")</f>
        <v>U</v>
      </c>
    </row>
    <row r="48" spans="1:47" ht="39" customHeight="1">
      <c r="A48" s="351" t="s">
        <v>91</v>
      </c>
      <c r="B48" s="352"/>
      <c r="C48" s="352"/>
      <c r="D48" s="352"/>
      <c r="E48" s="352"/>
      <c r="F48" s="352"/>
      <c r="G48" s="352"/>
      <c r="H48" s="352"/>
      <c r="I48" s="353"/>
      <c r="J48" s="363" t="s">
        <v>92</v>
      </c>
      <c r="K48" s="352"/>
      <c r="L48" s="352"/>
      <c r="M48" s="352"/>
      <c r="N48" s="352"/>
      <c r="O48" s="353"/>
      <c r="P48" s="357" t="s">
        <v>36</v>
      </c>
      <c r="Q48" s="358"/>
      <c r="R48" s="92"/>
      <c r="S48" s="93" t="s">
        <v>35</v>
      </c>
      <c r="T48" s="399">
        <v>50</v>
      </c>
      <c r="U48" s="385"/>
      <c r="V48" s="95"/>
      <c r="W48" s="386"/>
      <c r="X48" s="400">
        <f>T48</f>
        <v>50</v>
      </c>
      <c r="Y48" s="97"/>
      <c r="Z48" s="401">
        <f t="shared" si="1"/>
        <v>70</v>
      </c>
      <c r="AA48" s="99"/>
      <c r="AB48" s="99"/>
      <c r="AC48" s="390"/>
      <c r="AD48" s="101"/>
      <c r="AE48" s="101" t="s">
        <v>37</v>
      </c>
      <c r="AF48" s="402">
        <v>70</v>
      </c>
      <c r="AG48" s="344"/>
      <c r="AH48" s="345"/>
      <c r="AI48" s="346"/>
      <c r="AJ48" s="315"/>
      <c r="AK48" s="333"/>
      <c r="AL48" s="316"/>
      <c r="AM48" s="315"/>
      <c r="AN48" s="333"/>
      <c r="AO48" s="316"/>
      <c r="AP48" s="347"/>
      <c r="AQ48" s="348"/>
      <c r="AR48" s="349"/>
      <c r="AS48" s="362"/>
      <c r="AU48" s="136" t="str" cm="1">
        <f t="array" ref="AU48">_xlfn.IFS(AM48&gt;3,"A",AM48=3,"Q",AM48&lt;3,"U")</f>
        <v>U</v>
      </c>
    </row>
    <row r="49" spans="1:47" ht="39" customHeight="1">
      <c r="A49" s="383" t="s">
        <v>93</v>
      </c>
      <c r="B49" s="355"/>
      <c r="C49" s="355"/>
      <c r="D49" s="355"/>
      <c r="E49" s="355"/>
      <c r="F49" s="355"/>
      <c r="G49" s="355"/>
      <c r="H49" s="355"/>
      <c r="I49" s="355"/>
      <c r="J49" s="363" t="s">
        <v>94</v>
      </c>
      <c r="K49" s="352"/>
      <c r="L49" s="352"/>
      <c r="M49" s="352"/>
      <c r="N49" s="352"/>
      <c r="O49" s="352"/>
      <c r="P49" s="342" t="s">
        <v>69</v>
      </c>
      <c r="Q49" s="343"/>
      <c r="R49" s="92"/>
      <c r="S49" s="93" t="s">
        <v>37</v>
      </c>
      <c r="T49" s="94">
        <f>[1]Std.MTOil!S64</f>
        <v>250</v>
      </c>
      <c r="U49" s="385"/>
      <c r="V49" s="95"/>
      <c r="W49" s="386"/>
      <c r="X49" s="403">
        <f t="shared" ref="X49:X59" si="3">T49</f>
        <v>250</v>
      </c>
      <c r="Y49" s="97" t="s">
        <v>36</v>
      </c>
      <c r="Z49" s="98">
        <f t="shared" si="1"/>
        <v>100</v>
      </c>
      <c r="AA49" s="389"/>
      <c r="AB49" s="99"/>
      <c r="AC49" s="390"/>
      <c r="AD49" s="101"/>
      <c r="AE49" s="101" t="s">
        <v>35</v>
      </c>
      <c r="AF49" s="102">
        <f>[1]Std.MTOil!Q64</f>
        <v>100</v>
      </c>
      <c r="AG49" s="344"/>
      <c r="AH49" s="345"/>
      <c r="AI49" s="346"/>
      <c r="AJ49" s="312"/>
      <c r="AK49" s="397"/>
      <c r="AL49" s="314"/>
      <c r="AM49" s="315"/>
      <c r="AN49" s="333"/>
      <c r="AO49" s="316"/>
      <c r="AP49" s="347"/>
      <c r="AQ49" s="348"/>
      <c r="AR49" s="349"/>
      <c r="AS49" s="362"/>
      <c r="AU49" s="136" t="str" cm="1">
        <f t="array" ref="AU49">_xlfn.IFS(AM49&gt;3,"A",AM49=3,"Q",AM49&lt;3,"U")</f>
        <v>U</v>
      </c>
    </row>
    <row r="50" spans="1:47" ht="39" customHeight="1">
      <c r="A50" s="383" t="s">
        <v>95</v>
      </c>
      <c r="B50" s="355"/>
      <c r="C50" s="355"/>
      <c r="D50" s="355"/>
      <c r="E50" s="355"/>
      <c r="F50" s="355"/>
      <c r="G50" s="355"/>
      <c r="H50" s="355"/>
      <c r="I50" s="355"/>
      <c r="J50" s="363" t="s">
        <v>96</v>
      </c>
      <c r="K50" s="352"/>
      <c r="L50" s="352"/>
      <c r="M50" s="352"/>
      <c r="N50" s="352"/>
      <c r="O50" s="352"/>
      <c r="P50" s="364" t="s">
        <v>97</v>
      </c>
      <c r="Q50" s="364"/>
      <c r="R50" s="120"/>
      <c r="S50" s="71" t="s">
        <v>35</v>
      </c>
      <c r="T50" s="121">
        <f>IF($J$3="Dry Type","-",[1]Std.MTOil!$S$65)</f>
        <v>450</v>
      </c>
      <c r="U50" s="320"/>
      <c r="V50" s="320"/>
      <c r="W50" s="320"/>
      <c r="X50" s="378">
        <f t="shared" si="3"/>
        <v>450</v>
      </c>
      <c r="Y50" s="75" t="s">
        <v>36</v>
      </c>
      <c r="Z50" s="379">
        <f t="shared" si="1"/>
        <v>700</v>
      </c>
      <c r="AA50" s="123"/>
      <c r="AB50" s="123"/>
      <c r="AC50" s="123"/>
      <c r="AD50" s="124"/>
      <c r="AE50" s="79" t="s">
        <v>37</v>
      </c>
      <c r="AF50" s="125">
        <f>IF($J$3="Dry Type","-",[1]Std.MTOil!$Q$65)</f>
        <v>700</v>
      </c>
      <c r="AG50" s="344"/>
      <c r="AH50" s="345"/>
      <c r="AI50" s="346"/>
      <c r="AJ50" s="374"/>
      <c r="AK50" s="333"/>
      <c r="AL50" s="316"/>
      <c r="AM50" s="315"/>
      <c r="AN50" s="333"/>
      <c r="AO50" s="316"/>
      <c r="AP50" s="347"/>
      <c r="AQ50" s="348"/>
      <c r="AR50" s="349"/>
      <c r="AS50" s="362"/>
      <c r="AU50" s="136" t="str" cm="1">
        <f t="array" ref="AU50">_xlfn.IFS(AM50&gt;3,"A",AM50=3,"Q",AM50&lt;3,"U")</f>
        <v>U</v>
      </c>
    </row>
    <row r="51" spans="1:47" ht="39.75" customHeight="1" thickBot="1">
      <c r="A51" s="404" t="s">
        <v>98</v>
      </c>
      <c r="B51" s="405"/>
      <c r="C51" s="405"/>
      <c r="D51" s="405"/>
      <c r="E51" s="405"/>
      <c r="F51" s="405"/>
      <c r="G51" s="405"/>
      <c r="H51" s="405"/>
      <c r="I51" s="405"/>
      <c r="J51" s="406" t="s">
        <v>99</v>
      </c>
      <c r="K51" s="405"/>
      <c r="L51" s="405"/>
      <c r="M51" s="405"/>
      <c r="N51" s="405"/>
      <c r="O51" s="405"/>
      <c r="P51" s="407" t="s">
        <v>36</v>
      </c>
      <c r="Q51" s="407"/>
      <c r="R51" s="408"/>
      <c r="S51" s="409" t="s">
        <v>37</v>
      </c>
      <c r="T51" s="410">
        <f>IF(J3="Mineral Oil",4.8,"-")</f>
        <v>4.8</v>
      </c>
      <c r="U51" s="411">
        <v>4.8</v>
      </c>
      <c r="V51" s="411" t="s">
        <v>36</v>
      </c>
      <c r="W51" s="411">
        <v>4</v>
      </c>
      <c r="X51" s="412">
        <v>4</v>
      </c>
      <c r="Y51" s="413" t="s">
        <v>36</v>
      </c>
      <c r="Z51" s="414">
        <v>3.7</v>
      </c>
      <c r="AA51" s="415">
        <v>3.7</v>
      </c>
      <c r="AB51" s="415" t="s">
        <v>36</v>
      </c>
      <c r="AC51" s="415">
        <v>2.2000000000000002</v>
      </c>
      <c r="AD51" s="416"/>
      <c r="AE51" s="417" t="s">
        <v>35</v>
      </c>
      <c r="AF51" s="418">
        <f>IF(J3="Mineral Oil",2.2,"-")</f>
        <v>2.2000000000000002</v>
      </c>
      <c r="AG51" s="419"/>
      <c r="AH51" s="420"/>
      <c r="AI51" s="421"/>
      <c r="AJ51" s="422"/>
      <c r="AK51" s="423"/>
      <c r="AL51" s="424"/>
      <c r="AM51" s="425"/>
      <c r="AN51" s="426"/>
      <c r="AO51" s="427"/>
      <c r="AP51" s="428"/>
      <c r="AQ51" s="429"/>
      <c r="AR51" s="430"/>
      <c r="AS51" s="431"/>
      <c r="AU51" s="136" t="str" cm="1">
        <f t="array" ref="AU51">_xlfn.IFS(AM51&gt;3,"A",AM51=3,"Q",AM51&lt;3,"U")</f>
        <v>U</v>
      </c>
    </row>
    <row r="52" spans="1:47" ht="42">
      <c r="A52" s="432" t="s">
        <v>100</v>
      </c>
      <c r="B52" s="433"/>
      <c r="C52" s="433"/>
      <c r="D52" s="433"/>
      <c r="E52" s="433"/>
      <c r="F52" s="433"/>
      <c r="G52" s="433"/>
      <c r="H52" s="433"/>
      <c r="I52" s="434"/>
      <c r="J52" s="435"/>
      <c r="K52" s="435"/>
      <c r="L52" s="435"/>
      <c r="M52" s="435"/>
      <c r="N52" s="435"/>
      <c r="O52" s="435"/>
      <c r="P52" s="435"/>
      <c r="Q52" s="435"/>
      <c r="R52" s="291"/>
      <c r="S52" s="292"/>
      <c r="T52" s="293"/>
      <c r="U52" s="294"/>
      <c r="V52" s="294"/>
      <c r="W52" s="294"/>
      <c r="X52" s="295"/>
      <c r="Y52" s="296"/>
      <c r="Z52" s="297"/>
      <c r="AA52" s="298"/>
      <c r="AB52" s="298"/>
      <c r="AC52" s="298"/>
      <c r="AD52" s="299"/>
      <c r="AE52" s="300"/>
      <c r="AF52" s="301"/>
      <c r="AG52" s="436"/>
      <c r="AH52" s="436"/>
      <c r="AI52" s="436"/>
      <c r="AJ52" s="437"/>
      <c r="AK52" s="438"/>
      <c r="AL52" s="439"/>
      <c r="AM52" s="440"/>
      <c r="AN52" s="441"/>
      <c r="AO52" s="442"/>
      <c r="AP52" s="440"/>
      <c r="AQ52" s="441"/>
      <c r="AR52" s="442"/>
      <c r="AS52" s="443"/>
      <c r="AU52" s="136"/>
    </row>
    <row r="53" spans="1:47" ht="33.75" customHeight="1">
      <c r="A53" s="444" t="s">
        <v>101</v>
      </c>
      <c r="B53" s="445"/>
      <c r="C53" s="445"/>
      <c r="D53" s="445"/>
      <c r="E53" s="445"/>
      <c r="F53" s="445"/>
      <c r="G53" s="445"/>
      <c r="H53" s="445"/>
      <c r="I53" s="446"/>
      <c r="J53" s="447" t="s">
        <v>102</v>
      </c>
      <c r="K53" s="445"/>
      <c r="L53" s="445"/>
      <c r="M53" s="445"/>
      <c r="N53" s="445"/>
      <c r="O53" s="446"/>
      <c r="P53" s="448" t="s">
        <v>88</v>
      </c>
      <c r="Q53" s="449"/>
      <c r="R53" s="92"/>
      <c r="S53" s="93" t="s">
        <v>35</v>
      </c>
      <c r="T53" s="94">
        <f>IFERROR(IF(LEFT(X2,1)="Y",[1]Std.OLTCOil!I50,[1]Std.OLTCOil!I51),"-")</f>
        <v>40</v>
      </c>
      <c r="U53" s="95"/>
      <c r="V53" s="95"/>
      <c r="W53" s="95"/>
      <c r="X53" s="96">
        <f>T53</f>
        <v>40</v>
      </c>
      <c r="Y53" s="97" t="s">
        <v>36</v>
      </c>
      <c r="Z53" s="98">
        <f>AF53</f>
        <v>45</v>
      </c>
      <c r="AA53" s="99"/>
      <c r="AB53" s="99"/>
      <c r="AC53" s="99"/>
      <c r="AD53" s="100"/>
      <c r="AE53" s="101" t="s">
        <v>37</v>
      </c>
      <c r="AF53" s="102">
        <f>T53+5</f>
        <v>45</v>
      </c>
      <c r="AG53" s="450">
        <f>'[1]Health Index'!AM40</f>
        <v>45936</v>
      </c>
      <c r="AH53" s="451"/>
      <c r="AI53" s="452"/>
      <c r="AJ53" s="453">
        <f>'[1]Health Index'!AK43</f>
        <v>49.1</v>
      </c>
      <c r="AK53" s="453" t="str">
        <f>'[1]Health Index'!AL43</f>
        <v>-</v>
      </c>
      <c r="AL53" s="453">
        <f>'[1]Health Index'!AM43</f>
        <v>49.1</v>
      </c>
      <c r="AM53" s="454"/>
      <c r="AN53" s="455"/>
      <c r="AO53" s="456"/>
      <c r="AP53" s="457">
        <v>20</v>
      </c>
      <c r="AQ53" s="458"/>
      <c r="AR53" s="459"/>
      <c r="AS53" s="460">
        <f>MIN(AM53:AO55)*AP53</f>
        <v>0</v>
      </c>
      <c r="AU53" s="136" t="str" cm="1">
        <f t="array" ref="AU53">IF($Q$2="NLTC","-",_xlfn.IFS(AM53&gt;3,"A",AM53=3,"Q",AM53&lt;3,"U"))</f>
        <v>U</v>
      </c>
    </row>
    <row r="54" spans="1:47" ht="33.75" customHeight="1">
      <c r="A54" s="444" t="s">
        <v>103</v>
      </c>
      <c r="B54" s="445"/>
      <c r="C54" s="445"/>
      <c r="D54" s="445"/>
      <c r="E54" s="445"/>
      <c r="F54" s="445"/>
      <c r="G54" s="445"/>
      <c r="H54" s="445"/>
      <c r="I54" s="446"/>
      <c r="J54" s="447" t="s">
        <v>76</v>
      </c>
      <c r="K54" s="445"/>
      <c r="L54" s="445"/>
      <c r="M54" s="445"/>
      <c r="N54" s="445"/>
      <c r="O54" s="446"/>
      <c r="P54" s="461" t="s">
        <v>69</v>
      </c>
      <c r="Q54" s="462"/>
      <c r="R54" s="92"/>
      <c r="S54" s="93" t="s">
        <v>37</v>
      </c>
      <c r="T54" s="94">
        <f>IFERROR(IF(LEFT(U2,1)="Y",[1]Std.OLTCOil!I52,IF(O3&gt;69,[1]Std.OLTCOil!J53,[1]Std.OLTCOil!H53)),"-")</f>
        <v>40</v>
      </c>
      <c r="U54" s="95"/>
      <c r="V54" s="95"/>
      <c r="W54" s="95"/>
      <c r="X54" s="96">
        <f>T54</f>
        <v>40</v>
      </c>
      <c r="Y54" s="97" t="s">
        <v>36</v>
      </c>
      <c r="Z54" s="98">
        <f>AF54</f>
        <v>35</v>
      </c>
      <c r="AA54" s="99"/>
      <c r="AB54" s="99"/>
      <c r="AC54" s="99"/>
      <c r="AD54" s="100"/>
      <c r="AE54" s="101" t="s">
        <v>35</v>
      </c>
      <c r="AF54" s="102">
        <f>T54-5</f>
        <v>35</v>
      </c>
      <c r="AG54" s="463"/>
      <c r="AH54" s="464"/>
      <c r="AI54" s="465"/>
      <c r="AJ54" s="453">
        <f>'[1]Health Index'!AK44</f>
        <v>14.1</v>
      </c>
      <c r="AK54" s="453" t="str">
        <f>'[1]Health Index'!AL44</f>
        <v>-</v>
      </c>
      <c r="AL54" s="453">
        <f>'[1]Health Index'!AM44</f>
        <v>14.1</v>
      </c>
      <c r="AM54" s="454"/>
      <c r="AN54" s="455"/>
      <c r="AO54" s="456"/>
      <c r="AP54" s="466"/>
      <c r="AQ54" s="467"/>
      <c r="AR54" s="468"/>
      <c r="AS54" s="469"/>
      <c r="AU54" s="136" t="str" cm="1">
        <f t="array" ref="AU54">IF($Q$2="NLTC","-",_xlfn.IFS(AM54&gt;3,"A",AM54=3,"Q",AM54&lt;3,"U"))</f>
        <v>U</v>
      </c>
    </row>
    <row r="55" spans="1:47" ht="39" customHeight="1" thickBot="1">
      <c r="A55" s="470" t="s">
        <v>104</v>
      </c>
      <c r="B55" s="471"/>
      <c r="C55" s="471"/>
      <c r="D55" s="471"/>
      <c r="E55" s="471"/>
      <c r="F55" s="471"/>
      <c r="G55" s="471"/>
      <c r="H55" s="471"/>
      <c r="I55" s="472"/>
      <c r="J55" s="473"/>
      <c r="K55" s="474"/>
      <c r="L55" s="474"/>
      <c r="M55" s="474"/>
      <c r="N55" s="474"/>
      <c r="O55" s="474"/>
      <c r="P55" s="475" t="s">
        <v>64</v>
      </c>
      <c r="Q55" s="476"/>
      <c r="R55" s="477" t="s">
        <v>65</v>
      </c>
      <c r="S55" s="478"/>
      <c r="T55" s="479"/>
      <c r="U55" s="411"/>
      <c r="V55" s="411"/>
      <c r="W55" s="411"/>
      <c r="X55" s="480"/>
      <c r="Y55" s="481" t="s">
        <v>36</v>
      </c>
      <c r="Z55" s="482"/>
      <c r="AA55" s="415"/>
      <c r="AB55" s="415"/>
      <c r="AC55" s="415"/>
      <c r="AD55" s="483" t="s">
        <v>66</v>
      </c>
      <c r="AE55" s="484"/>
      <c r="AF55" s="485"/>
      <c r="AG55" s="486"/>
      <c r="AH55" s="487"/>
      <c r="AI55" s="488"/>
      <c r="AJ55" s="489" t="s">
        <v>66</v>
      </c>
      <c r="AK55" s="490"/>
      <c r="AL55" s="491"/>
      <c r="AM55" s="475"/>
      <c r="AN55" s="492"/>
      <c r="AO55" s="476"/>
      <c r="AP55" s="493"/>
      <c r="AQ55" s="494"/>
      <c r="AR55" s="495"/>
      <c r="AS55" s="496"/>
      <c r="AU55" s="136" t="str" cm="1">
        <f t="array" ref="AU55">IF($Q$2="NLTC","-",_xlfn.IFS(AM55&gt;3,"A",AM55=3,"Q",AM55&lt;3,"U"))</f>
        <v>U</v>
      </c>
    </row>
    <row r="56" spans="1:47" ht="42">
      <c r="A56" s="497" t="s">
        <v>105</v>
      </c>
      <c r="B56" s="498"/>
      <c r="C56" s="498"/>
      <c r="D56" s="498"/>
      <c r="E56" s="498"/>
      <c r="F56" s="498"/>
      <c r="G56" s="498"/>
      <c r="H56" s="498"/>
      <c r="I56" s="499"/>
      <c r="J56" s="500"/>
      <c r="K56" s="500"/>
      <c r="L56" s="500"/>
      <c r="M56" s="500"/>
      <c r="N56" s="500"/>
      <c r="O56" s="500"/>
      <c r="P56" s="500"/>
      <c r="Q56" s="500"/>
      <c r="R56" s="291"/>
      <c r="S56" s="292"/>
      <c r="T56" s="293"/>
      <c r="U56" s="294"/>
      <c r="V56" s="294"/>
      <c r="W56" s="294"/>
      <c r="X56" s="295"/>
      <c r="Y56" s="296"/>
      <c r="Z56" s="297"/>
      <c r="AA56" s="298"/>
      <c r="AB56" s="298"/>
      <c r="AC56" s="298"/>
      <c r="AD56" s="299"/>
      <c r="AE56" s="300"/>
      <c r="AF56" s="301"/>
      <c r="AG56" s="501"/>
      <c r="AH56" s="502"/>
      <c r="AI56" s="503"/>
      <c r="AJ56" s="504"/>
      <c r="AK56" s="504"/>
      <c r="AL56" s="504"/>
      <c r="AM56" s="505"/>
      <c r="AN56" s="506"/>
      <c r="AO56" s="507"/>
      <c r="AP56" s="505"/>
      <c r="AQ56" s="506"/>
      <c r="AR56" s="507"/>
      <c r="AS56" s="508"/>
      <c r="AU56" s="136"/>
    </row>
    <row r="57" spans="1:47" ht="33.75" customHeight="1">
      <c r="A57" s="509" t="s">
        <v>106</v>
      </c>
      <c r="B57" s="510"/>
      <c r="C57" s="510"/>
      <c r="D57" s="510"/>
      <c r="E57" s="510"/>
      <c r="F57" s="510"/>
      <c r="G57" s="510"/>
      <c r="H57" s="510"/>
      <c r="I57" s="511"/>
      <c r="J57" s="512"/>
      <c r="K57" s="513"/>
      <c r="L57" s="513"/>
      <c r="M57" s="513"/>
      <c r="N57" s="513"/>
      <c r="O57" s="514"/>
      <c r="P57" s="512"/>
      <c r="Q57" s="514"/>
      <c r="R57" s="92"/>
      <c r="S57" s="93" t="s">
        <v>37</v>
      </c>
      <c r="T57" s="94">
        <v>50</v>
      </c>
      <c r="U57" s="95"/>
      <c r="V57" s="95"/>
      <c r="W57" s="95"/>
      <c r="X57" s="96">
        <f>T57</f>
        <v>50</v>
      </c>
      <c r="Y57" s="97" t="s">
        <v>36</v>
      </c>
      <c r="Z57" s="98">
        <f>AF57</f>
        <v>20</v>
      </c>
      <c r="AA57" s="99"/>
      <c r="AB57" s="99"/>
      <c r="AC57" s="99"/>
      <c r="AD57" s="100"/>
      <c r="AE57" s="101" t="s">
        <v>35</v>
      </c>
      <c r="AF57" s="102">
        <v>20</v>
      </c>
      <c r="AG57" s="515"/>
      <c r="AH57" s="516"/>
      <c r="AI57" s="517"/>
      <c r="AJ57" s="518">
        <f>IFERROR(MAX('[1]Health Index'!P16,'[1]Health Index'!S16,'[1]Health Index'!P19),"-")</f>
        <v>0</v>
      </c>
      <c r="AK57" s="518">
        <f>IFERROR(MAX('[1]Health Index'!Q16,'[1]Health Index'!T16,'[1]Health Index'!Q19),"-")</f>
        <v>0</v>
      </c>
      <c r="AL57" s="518">
        <f>IFERROR(MAX('[1]Health Index'!R16,'[1]Health Index'!U16,'[1]Health Index'!R19),"-")</f>
        <v>0</v>
      </c>
      <c r="AM57" s="512"/>
      <c r="AN57" s="513"/>
      <c r="AO57" s="514"/>
      <c r="AP57" s="519">
        <v>5</v>
      </c>
      <c r="AQ57" s="520"/>
      <c r="AR57" s="521"/>
      <c r="AS57" s="522">
        <f>MIN(AM57:AO59)*AP57</f>
        <v>0</v>
      </c>
      <c r="AU57" s="136" t="str" cm="1">
        <f t="array" ref="AU57">IF(OR($O$4="Aux. Transformer with OLTC",$O$4="Aux. Transformer"),"-",_xlfn.IFS(AM57&gt;3,"A",AM57=3,"Q",AM57&lt;3,"U"))</f>
        <v>U</v>
      </c>
    </row>
    <row r="58" spans="1:47" ht="33.75" customHeight="1">
      <c r="A58" s="509" t="s">
        <v>107</v>
      </c>
      <c r="B58" s="510"/>
      <c r="C58" s="510"/>
      <c r="D58" s="510"/>
      <c r="E58" s="510"/>
      <c r="F58" s="510"/>
      <c r="G58" s="510"/>
      <c r="H58" s="510"/>
      <c r="I58" s="511"/>
      <c r="J58" s="512"/>
      <c r="K58" s="513"/>
      <c r="L58" s="513"/>
      <c r="M58" s="513"/>
      <c r="N58" s="513"/>
      <c r="O58" s="514"/>
      <c r="P58" s="512"/>
      <c r="Q58" s="514"/>
      <c r="R58" s="92"/>
      <c r="S58" s="93" t="s">
        <v>37</v>
      </c>
      <c r="T58" s="94">
        <v>50</v>
      </c>
      <c r="U58" s="95"/>
      <c r="V58" s="95"/>
      <c r="W58" s="95"/>
      <c r="X58" s="96">
        <f>T58</f>
        <v>50</v>
      </c>
      <c r="Y58" s="97" t="s">
        <v>36</v>
      </c>
      <c r="Z58" s="98">
        <f>AF58</f>
        <v>20</v>
      </c>
      <c r="AA58" s="99"/>
      <c r="AB58" s="99"/>
      <c r="AC58" s="99"/>
      <c r="AD58" s="100"/>
      <c r="AE58" s="101" t="s">
        <v>35</v>
      </c>
      <c r="AF58" s="102">
        <v>20</v>
      </c>
      <c r="AG58" s="523"/>
      <c r="AH58" s="524"/>
      <c r="AI58" s="525"/>
      <c r="AJ58" s="518">
        <f>IFERROR(MAX('[1]Health Index'!P17,'[1]Health Index'!S17,'[1]Health Index'!P20),"-")</f>
        <v>0</v>
      </c>
      <c r="AK58" s="518">
        <f>IFERROR(MAX('[1]Health Index'!Q17,'[1]Health Index'!T17,'[1]Health Index'!Q20),"-")</f>
        <v>0</v>
      </c>
      <c r="AL58" s="518">
        <f>IFERROR(MAX('[1]Health Index'!R17,'[1]Health Index'!U17,'[1]Health Index'!R20),"-")</f>
        <v>0</v>
      </c>
      <c r="AM58" s="512"/>
      <c r="AN58" s="513"/>
      <c r="AO58" s="514"/>
      <c r="AP58" s="526"/>
      <c r="AQ58" s="527"/>
      <c r="AR58" s="528"/>
      <c r="AS58" s="529"/>
      <c r="AU58" s="136" t="str" cm="1">
        <f t="array" ref="AU58">IF(OR($O$4="Aux. Transformer with OLTC",$O$4="Aux. Transformer"),"-",_xlfn.IFS(AM58&gt;3,"A",AM58=3,"Q",AM58&lt;3,"U"))</f>
        <v>U</v>
      </c>
    </row>
    <row r="59" spans="1:47" ht="34.5" customHeight="1" thickBot="1">
      <c r="A59" s="530" t="s">
        <v>108</v>
      </c>
      <c r="B59" s="531"/>
      <c r="C59" s="531"/>
      <c r="D59" s="531"/>
      <c r="E59" s="531"/>
      <c r="F59" s="531"/>
      <c r="G59" s="531"/>
      <c r="H59" s="531"/>
      <c r="I59" s="532"/>
      <c r="J59" s="533"/>
      <c r="K59" s="534"/>
      <c r="L59" s="534"/>
      <c r="M59" s="534"/>
      <c r="N59" s="534"/>
      <c r="O59" s="535"/>
      <c r="P59" s="533"/>
      <c r="Q59" s="535"/>
      <c r="R59" s="269"/>
      <c r="S59" s="270" t="s">
        <v>37</v>
      </c>
      <c r="T59" s="271">
        <v>100</v>
      </c>
      <c r="U59" s="272"/>
      <c r="V59" s="272"/>
      <c r="W59" s="272"/>
      <c r="X59" s="273"/>
      <c r="Y59" s="274"/>
      <c r="Z59" s="536"/>
      <c r="AA59" s="537"/>
      <c r="AB59" s="276"/>
      <c r="AC59" s="538"/>
      <c r="AD59" s="278"/>
      <c r="AE59" s="278" t="s">
        <v>37</v>
      </c>
      <c r="AF59" s="279">
        <v>100</v>
      </c>
      <c r="AG59" s="539"/>
      <c r="AH59" s="540"/>
      <c r="AI59" s="541"/>
      <c r="AJ59" s="542">
        <f>IFERROR(VALUE('[1]Surge Arrester Test'!K33)*1000,"-")</f>
        <v>123000000</v>
      </c>
      <c r="AK59" s="542">
        <f>IFERROR(VALUE('[1]Surge Arrester Test'!K34)*1000,"-")</f>
        <v>142000000</v>
      </c>
      <c r="AL59" s="542" t="str">
        <f>IFERROR(VALUE('[1]Surge Arrester Test'!K35)*1000,"-")</f>
        <v>-</v>
      </c>
      <c r="AM59" s="533"/>
      <c r="AN59" s="534"/>
      <c r="AO59" s="535"/>
      <c r="AP59" s="543"/>
      <c r="AQ59" s="544"/>
      <c r="AR59" s="545"/>
      <c r="AS59" s="546"/>
      <c r="AU59" s="136" t="str" cm="1">
        <f t="array" ref="AU59">IF(OR($O$4="Aux. Transformer with OLTC",$O$4="Aux. Transformer"),"-",_xlfn.IFS(AM59&gt;3,"A",AM59=3,"Q",AM59&lt;3,"U"))</f>
        <v>U</v>
      </c>
    </row>
    <row r="60" spans="1:47" ht="42">
      <c r="A60" s="547" t="s">
        <v>109</v>
      </c>
      <c r="B60" s="548"/>
      <c r="C60" s="548"/>
      <c r="D60" s="548"/>
      <c r="E60" s="548"/>
      <c r="F60" s="548"/>
      <c r="G60" s="548"/>
      <c r="H60" s="548"/>
      <c r="I60" s="549"/>
      <c r="J60" s="550" t="s">
        <v>110</v>
      </c>
      <c r="K60" s="551"/>
      <c r="L60" s="551"/>
      <c r="M60" s="551"/>
      <c r="N60" s="551"/>
      <c r="O60" s="552"/>
      <c r="P60" s="550" t="s">
        <v>111</v>
      </c>
      <c r="Q60" s="552"/>
      <c r="R60" s="291"/>
      <c r="S60" s="292"/>
      <c r="T60" s="293"/>
      <c r="U60" s="294"/>
      <c r="V60" s="294"/>
      <c r="W60" s="294"/>
      <c r="X60" s="295"/>
      <c r="Y60" s="296"/>
      <c r="Z60" s="297"/>
      <c r="AA60" s="298"/>
      <c r="AB60" s="298"/>
      <c r="AC60" s="298"/>
      <c r="AD60" s="299"/>
      <c r="AE60" s="300"/>
      <c r="AF60" s="301"/>
      <c r="AG60" s="553"/>
      <c r="AH60" s="554"/>
      <c r="AI60" s="555"/>
      <c r="AJ60" s="556"/>
      <c r="AK60" s="556"/>
      <c r="AL60" s="556"/>
      <c r="AM60" s="557"/>
      <c r="AN60" s="558"/>
      <c r="AO60" s="559"/>
      <c r="AP60" s="557"/>
      <c r="AQ60" s="558"/>
      <c r="AR60" s="559"/>
      <c r="AS60" s="560"/>
      <c r="AU60" s="136"/>
    </row>
    <row r="61" spans="1:47" ht="39" customHeight="1">
      <c r="A61" s="561" t="s">
        <v>112</v>
      </c>
      <c r="B61" s="562"/>
      <c r="C61" s="562"/>
      <c r="D61" s="562"/>
      <c r="E61" s="562"/>
      <c r="F61" s="562"/>
      <c r="G61" s="562"/>
      <c r="H61" s="562"/>
      <c r="I61" s="563"/>
      <c r="J61" s="564" t="str">
        <f>'[1]BushingPF Test'!G19</f>
        <v>OIP</v>
      </c>
      <c r="K61" s="565"/>
      <c r="L61" s="566"/>
      <c r="M61" s="566"/>
      <c r="N61" s="566"/>
      <c r="O61" s="567"/>
      <c r="P61" s="568" t="str">
        <f>'[1]BushingPF Test'!B19</f>
        <v>TRENCH</v>
      </c>
      <c r="Q61" s="567"/>
      <c r="R61" s="92"/>
      <c r="S61" s="93" t="s">
        <v>37</v>
      </c>
      <c r="T61" s="94" t="str" cm="1">
        <f t="array" ref="T61">IFERROR(IF(K60="OIP",_xlfn.IFS(N60="ABB",75,N60="TRENCH",100),_xlfn.IFS(N60="ABB",75,N60="PASSONI VILLA",30,N60="MGC",10)),"-")</f>
        <v>-</v>
      </c>
      <c r="U61" s="95"/>
      <c r="V61" s="95"/>
      <c r="W61" s="95"/>
      <c r="X61" s="96" t="str">
        <f>T61</f>
        <v>-</v>
      </c>
      <c r="Y61" s="97" t="s">
        <v>36</v>
      </c>
      <c r="Z61" s="98" t="str">
        <f>AF61</f>
        <v>-</v>
      </c>
      <c r="AA61" s="99"/>
      <c r="AB61" s="99"/>
      <c r="AC61" s="99"/>
      <c r="AD61" s="100"/>
      <c r="AE61" s="101" t="s">
        <v>35</v>
      </c>
      <c r="AF61" s="102" t="str">
        <f>IFERROR(T61*0.5,"-")</f>
        <v>-</v>
      </c>
      <c r="AG61" s="569"/>
      <c r="AH61" s="570"/>
      <c r="AI61" s="571"/>
      <c r="AJ61" s="572">
        <f>'[1]Health Index'!P8</f>
        <v>5.695652173913043</v>
      </c>
      <c r="AK61" s="572">
        <f>'[1]Health Index'!Q8</f>
        <v>6.1739130434782687</v>
      </c>
      <c r="AL61" s="572">
        <f>'[1]Health Index'!R8</f>
        <v>3.1250000000000147</v>
      </c>
      <c r="AM61" s="573"/>
      <c r="AN61" s="574"/>
      <c r="AO61" s="575"/>
      <c r="AP61" s="576">
        <v>25</v>
      </c>
      <c r="AQ61" s="577"/>
      <c r="AR61" s="578"/>
      <c r="AS61" s="579">
        <f>MIN(AM61:AO64)*AP61</f>
        <v>0</v>
      </c>
      <c r="AU61" s="136" t="str" cm="1">
        <f t="array" ref="AU61">IF(OR($O$4="Aux. Transformer with OLTC",$O$4="Aux. Transformer"),"-",_xlfn.IFS(AM61&gt;3,"A",AM61=3,"Q",AM61&lt;3,"U"))</f>
        <v>U</v>
      </c>
    </row>
    <row r="62" spans="1:47" ht="33.75" customHeight="1">
      <c r="A62" s="561" t="s">
        <v>113</v>
      </c>
      <c r="B62" s="562"/>
      <c r="C62" s="562"/>
      <c r="D62" s="562"/>
      <c r="E62" s="562"/>
      <c r="F62" s="562"/>
      <c r="G62" s="562"/>
      <c r="H62" s="562"/>
      <c r="I62" s="563"/>
      <c r="J62" s="564" t="str">
        <f>J61</f>
        <v>OIP</v>
      </c>
      <c r="K62" s="566"/>
      <c r="L62" s="566"/>
      <c r="M62" s="566"/>
      <c r="N62" s="566"/>
      <c r="O62" s="567"/>
      <c r="P62" s="564" t="str">
        <f>P61</f>
        <v>TRENCH</v>
      </c>
      <c r="Q62" s="567"/>
      <c r="R62" s="92"/>
      <c r="S62" s="93" t="s">
        <v>37</v>
      </c>
      <c r="T62" s="94">
        <v>5</v>
      </c>
      <c r="U62" s="95"/>
      <c r="V62" s="95"/>
      <c r="W62" s="95"/>
      <c r="X62" s="96">
        <v>5</v>
      </c>
      <c r="Y62" s="97" t="s">
        <v>36</v>
      </c>
      <c r="Z62" s="98">
        <v>3</v>
      </c>
      <c r="AA62" s="99"/>
      <c r="AB62" s="99"/>
      <c r="AC62" s="99"/>
      <c r="AD62" s="100"/>
      <c r="AE62" s="101" t="s">
        <v>35</v>
      </c>
      <c r="AF62" s="102">
        <v>3</v>
      </c>
      <c r="AG62" s="580"/>
      <c r="AH62" s="581"/>
      <c r="AI62" s="582"/>
      <c r="AJ62" s="572">
        <f>'[1]Health Index'!P9</f>
        <v>0.83832335329341656</v>
      </c>
      <c r="AK62" s="572">
        <f>'[1]Health Index'!Q9</f>
        <v>1.5060240963855422</v>
      </c>
      <c r="AL62" s="572">
        <f>'[1]Health Index'!R9</f>
        <v>1.2499999999999967</v>
      </c>
      <c r="AM62" s="573"/>
      <c r="AN62" s="574"/>
      <c r="AO62" s="575"/>
      <c r="AP62" s="583"/>
      <c r="AQ62" s="584"/>
      <c r="AR62" s="585"/>
      <c r="AS62" s="586"/>
      <c r="AU62" s="136" t="str" cm="1">
        <f t="array" ref="AU62">IF(OR($O$4="Aux. Transformer with OLTC",$O$4="Aux. Transformer"),"-",_xlfn.IFS(AM62&gt;3,"A",AM62=3,"Q",AM62&lt;3,"U"))</f>
        <v>U</v>
      </c>
    </row>
    <row r="63" spans="1:47" ht="39" customHeight="1">
      <c r="A63" s="561" t="s">
        <v>114</v>
      </c>
      <c r="B63" s="562"/>
      <c r="C63" s="562"/>
      <c r="D63" s="562"/>
      <c r="E63" s="562"/>
      <c r="F63" s="562"/>
      <c r="G63" s="562"/>
      <c r="H63" s="562"/>
      <c r="I63" s="563"/>
      <c r="J63" s="573"/>
      <c r="K63" s="574"/>
      <c r="L63" s="574"/>
      <c r="M63" s="574"/>
      <c r="N63" s="574"/>
      <c r="O63" s="575"/>
      <c r="P63" s="573"/>
      <c r="Q63" s="575"/>
      <c r="R63" s="92"/>
      <c r="S63" s="93" t="s">
        <v>37</v>
      </c>
      <c r="T63" s="94" t="str" cm="1">
        <f t="array" ref="T63">IFERROR(IF(K62="OIP",_xlfn.IFS(N62="ABB",75,N62="TRENCH",100),_xlfn.IFS(N62="ABB",75,N62="PASSONI VILLA",30,N62="MGC",10)),"-")</f>
        <v>-</v>
      </c>
      <c r="U63" s="95"/>
      <c r="V63" s="95"/>
      <c r="W63" s="95"/>
      <c r="X63" s="96" t="str">
        <f>T63</f>
        <v>-</v>
      </c>
      <c r="Y63" s="97" t="s">
        <v>36</v>
      </c>
      <c r="Z63" s="98" t="str">
        <f>AF63</f>
        <v>-</v>
      </c>
      <c r="AA63" s="99"/>
      <c r="AB63" s="99"/>
      <c r="AC63" s="99"/>
      <c r="AD63" s="100"/>
      <c r="AE63" s="101" t="s">
        <v>35</v>
      </c>
      <c r="AF63" s="102" t="str">
        <f>IFERROR(T63*0.5,"-")</f>
        <v>-</v>
      </c>
      <c r="AG63" s="587"/>
      <c r="AH63" s="588"/>
      <c r="AI63" s="589"/>
      <c r="AJ63" s="572" t="str">
        <f>'[1]Health Index'!P11</f>
        <v>-</v>
      </c>
      <c r="AK63" s="572" t="str">
        <f>'[1]Health Index'!Q11</f>
        <v>-</v>
      </c>
      <c r="AL63" s="572" t="str">
        <f>'[1]Health Index'!R11</f>
        <v>-</v>
      </c>
      <c r="AM63" s="573"/>
      <c r="AN63" s="574"/>
      <c r="AO63" s="575"/>
      <c r="AP63" s="583"/>
      <c r="AQ63" s="584"/>
      <c r="AR63" s="585"/>
      <c r="AS63" s="586"/>
      <c r="AU63" s="136"/>
    </row>
    <row r="64" spans="1:47" ht="39" thickBot="1">
      <c r="A64" s="590" t="s">
        <v>115</v>
      </c>
      <c r="B64" s="591"/>
      <c r="C64" s="591"/>
      <c r="D64" s="591"/>
      <c r="E64" s="591"/>
      <c r="F64" s="591"/>
      <c r="G64" s="591"/>
      <c r="H64" s="591"/>
      <c r="I64" s="592"/>
      <c r="J64" s="593"/>
      <c r="K64" s="594"/>
      <c r="L64" s="594"/>
      <c r="M64" s="594"/>
      <c r="N64" s="594"/>
      <c r="O64" s="595"/>
      <c r="P64" s="593"/>
      <c r="Q64" s="595"/>
      <c r="R64" s="92"/>
      <c r="S64" s="93" t="s">
        <v>37</v>
      </c>
      <c r="T64" s="94">
        <v>5</v>
      </c>
      <c r="U64" s="95"/>
      <c r="V64" s="95"/>
      <c r="W64" s="95"/>
      <c r="X64" s="96">
        <v>5</v>
      </c>
      <c r="Y64" s="97" t="s">
        <v>36</v>
      </c>
      <c r="Z64" s="98">
        <v>3</v>
      </c>
      <c r="AA64" s="99"/>
      <c r="AB64" s="99"/>
      <c r="AC64" s="99"/>
      <c r="AD64" s="100"/>
      <c r="AE64" s="101" t="s">
        <v>35</v>
      </c>
      <c r="AF64" s="102">
        <v>3</v>
      </c>
      <c r="AG64" s="596"/>
      <c r="AH64" s="597"/>
      <c r="AI64" s="598"/>
      <c r="AJ64" s="572" t="str">
        <f>'[1]Health Index'!P12</f>
        <v>-</v>
      </c>
      <c r="AK64" s="572" t="str">
        <f>'[1]Health Index'!Q12</f>
        <v>-</v>
      </c>
      <c r="AL64" s="572" t="str">
        <f>'[1]Health Index'!R12</f>
        <v>-</v>
      </c>
      <c r="AM64" s="573"/>
      <c r="AN64" s="574"/>
      <c r="AO64" s="575"/>
      <c r="AP64" s="599"/>
      <c r="AQ64" s="600"/>
      <c r="AR64" s="601"/>
      <c r="AS64" s="602"/>
      <c r="AU64" s="136"/>
    </row>
    <row r="65" spans="1:47" ht="42">
      <c r="A65" s="603" t="s">
        <v>116</v>
      </c>
      <c r="B65" s="604"/>
      <c r="C65" s="604"/>
      <c r="D65" s="604"/>
      <c r="E65" s="604"/>
      <c r="F65" s="604"/>
      <c r="G65" s="604"/>
      <c r="H65" s="604"/>
      <c r="I65" s="605"/>
      <c r="J65" s="606"/>
      <c r="K65" s="606"/>
      <c r="L65" s="606"/>
      <c r="M65" s="606"/>
      <c r="N65" s="606"/>
      <c r="O65" s="606"/>
      <c r="P65" s="606"/>
      <c r="Q65" s="606"/>
      <c r="R65" s="291"/>
      <c r="S65" s="292"/>
      <c r="T65" s="293"/>
      <c r="U65" s="294"/>
      <c r="V65" s="294"/>
      <c r="W65" s="294"/>
      <c r="X65" s="295"/>
      <c r="Y65" s="296"/>
      <c r="Z65" s="297"/>
      <c r="AA65" s="298"/>
      <c r="AB65" s="298"/>
      <c r="AC65" s="298"/>
      <c r="AD65" s="299"/>
      <c r="AE65" s="300"/>
      <c r="AF65" s="301"/>
      <c r="AG65" s="607"/>
      <c r="AH65" s="608"/>
      <c r="AI65" s="609"/>
      <c r="AJ65" s="610"/>
      <c r="AK65" s="611"/>
      <c r="AL65" s="612"/>
      <c r="AM65" s="613"/>
      <c r="AN65" s="614"/>
      <c r="AO65" s="615"/>
      <c r="AP65" s="613"/>
      <c r="AQ65" s="614"/>
      <c r="AR65" s="615"/>
      <c r="AS65" s="616"/>
      <c r="AU65" s="136"/>
    </row>
    <row r="66" spans="1:47" ht="38.4">
      <c r="A66" s="617" t="s">
        <v>117</v>
      </c>
      <c r="B66" s="618"/>
      <c r="C66" s="618"/>
      <c r="D66" s="618"/>
      <c r="E66" s="618"/>
      <c r="F66" s="618"/>
      <c r="G66" s="618"/>
      <c r="H66" s="618"/>
      <c r="I66" s="619"/>
      <c r="J66" s="620"/>
      <c r="K66" s="621"/>
      <c r="L66" s="621"/>
      <c r="M66" s="621"/>
      <c r="N66" s="621"/>
      <c r="O66" s="622"/>
      <c r="P66" s="620"/>
      <c r="Q66" s="622"/>
      <c r="R66" s="92"/>
      <c r="S66" s="93" t="s">
        <v>118</v>
      </c>
      <c r="T66" s="94">
        <v>5</v>
      </c>
      <c r="U66" s="95"/>
      <c r="V66" s="95"/>
      <c r="W66" s="95"/>
      <c r="X66" s="96"/>
      <c r="Y66" s="403"/>
      <c r="Z66" s="98"/>
      <c r="AA66" s="99"/>
      <c r="AB66" s="99"/>
      <c r="AC66" s="99"/>
      <c r="AD66" s="100"/>
      <c r="AE66" s="101" t="s">
        <v>37</v>
      </c>
      <c r="AF66" s="102">
        <v>5</v>
      </c>
      <c r="AG66" s="623"/>
      <c r="AH66" s="624"/>
      <c r="AI66" s="625"/>
      <c r="AJ66" s="620"/>
      <c r="AK66" s="621"/>
      <c r="AL66" s="622"/>
      <c r="AM66" s="81"/>
      <c r="AN66" s="626"/>
      <c r="AO66" s="627"/>
      <c r="AP66" s="81"/>
      <c r="AQ66" s="626"/>
      <c r="AR66" s="627"/>
      <c r="AS66" s="628"/>
      <c r="AU66" s="136"/>
    </row>
    <row r="67" spans="1:47" ht="39" thickBot="1">
      <c r="A67" s="629" t="s">
        <v>119</v>
      </c>
      <c r="B67" s="630"/>
      <c r="C67" s="630"/>
      <c r="D67" s="630"/>
      <c r="E67" s="630"/>
      <c r="F67" s="630"/>
      <c r="G67" s="630"/>
      <c r="H67" s="630"/>
      <c r="I67" s="631"/>
      <c r="J67" s="632"/>
      <c r="K67" s="633"/>
      <c r="L67" s="633"/>
      <c r="M67" s="633"/>
      <c r="N67" s="633"/>
      <c r="O67" s="634"/>
      <c r="P67" s="632"/>
      <c r="Q67" s="634"/>
      <c r="R67" s="269"/>
      <c r="S67" s="270" t="s">
        <v>118</v>
      </c>
      <c r="T67" s="271">
        <v>1</v>
      </c>
      <c r="U67" s="272"/>
      <c r="V67" s="272"/>
      <c r="W67" s="272"/>
      <c r="X67" s="635"/>
      <c r="Y67" s="636"/>
      <c r="Z67" s="637"/>
      <c r="AA67" s="276"/>
      <c r="AB67" s="276"/>
      <c r="AC67" s="276"/>
      <c r="AD67" s="277"/>
      <c r="AE67" s="278" t="s">
        <v>37</v>
      </c>
      <c r="AF67" s="279">
        <v>1</v>
      </c>
      <c r="AG67" s="638"/>
      <c r="AH67" s="639"/>
      <c r="AI67" s="640"/>
      <c r="AJ67" s="632"/>
      <c r="AK67" s="633"/>
      <c r="AL67" s="634"/>
      <c r="AM67" s="641"/>
      <c r="AN67" s="642"/>
      <c r="AO67" s="643"/>
      <c r="AP67" s="641"/>
      <c r="AQ67" s="642"/>
      <c r="AR67" s="643"/>
      <c r="AS67" s="644"/>
      <c r="AU67" s="136"/>
    </row>
    <row r="68" spans="1:47" ht="38.25" customHeight="1">
      <c r="A68" s="645" t="s">
        <v>120</v>
      </c>
      <c r="B68" s="646"/>
      <c r="C68" s="647"/>
      <c r="D68" s="647"/>
      <c r="E68" s="647"/>
      <c r="F68" s="647"/>
      <c r="G68" s="647"/>
      <c r="H68" s="647"/>
      <c r="I68" s="647"/>
      <c r="J68" s="648"/>
      <c r="K68" s="647"/>
      <c r="L68" s="647"/>
      <c r="M68" s="647"/>
      <c r="N68" s="647"/>
      <c r="O68" s="647"/>
      <c r="P68" s="647"/>
      <c r="Q68" s="649"/>
      <c r="R68" s="650" t="s">
        <v>65</v>
      </c>
      <c r="S68" s="651"/>
      <c r="T68" s="652"/>
      <c r="U68" s="294"/>
      <c r="V68" s="294"/>
      <c r="W68" s="294"/>
      <c r="X68" s="653"/>
      <c r="Y68" s="654" t="s">
        <v>36</v>
      </c>
      <c r="Z68" s="655"/>
      <c r="AA68" s="298"/>
      <c r="AB68" s="298"/>
      <c r="AC68" s="298"/>
      <c r="AD68" s="656" t="s">
        <v>66</v>
      </c>
      <c r="AE68" s="657"/>
      <c r="AF68" s="658"/>
      <c r="AG68" s="659"/>
      <c r="AH68" s="659" t="s">
        <v>121</v>
      </c>
      <c r="AI68" s="659">
        <v>2019</v>
      </c>
      <c r="AJ68" s="660" t="s">
        <v>66</v>
      </c>
      <c r="AK68" s="661"/>
      <c r="AL68" s="662"/>
      <c r="AM68" s="663"/>
      <c r="AN68" s="664"/>
      <c r="AO68" s="665"/>
      <c r="AP68" s="666">
        <v>5</v>
      </c>
      <c r="AQ68" s="667"/>
      <c r="AR68" s="668"/>
      <c r="AS68" s="669">
        <f>MIN(AM68:AO71)*AP68</f>
        <v>0</v>
      </c>
      <c r="AU68" s="136" t="str" cm="1">
        <f t="array" ref="AU68">_xlfn.IFS(AM68&gt;3,"A",AM68=3,"Q",AM68&lt;3,"U")</f>
        <v>U</v>
      </c>
    </row>
    <row r="69" spans="1:47" ht="38.25" customHeight="1">
      <c r="A69" s="670" t="s">
        <v>122</v>
      </c>
      <c r="B69" s="671"/>
      <c r="C69" s="671"/>
      <c r="D69" s="671"/>
      <c r="E69" s="671"/>
      <c r="F69" s="671"/>
      <c r="G69" s="671"/>
      <c r="H69" s="671"/>
      <c r="I69" s="672"/>
      <c r="J69" s="673"/>
      <c r="K69" s="674"/>
      <c r="L69" s="674"/>
      <c r="M69" s="674"/>
      <c r="N69" s="674"/>
      <c r="O69" s="674"/>
      <c r="P69" s="674"/>
      <c r="Q69" s="675"/>
      <c r="R69" s="317" t="s">
        <v>65</v>
      </c>
      <c r="S69" s="318"/>
      <c r="T69" s="319"/>
      <c r="U69" s="320"/>
      <c r="V69" s="320"/>
      <c r="W69" s="320"/>
      <c r="X69" s="321"/>
      <c r="Y69" s="322" t="s">
        <v>36</v>
      </c>
      <c r="Z69" s="323"/>
      <c r="AA69" s="123"/>
      <c r="AB69" s="123"/>
      <c r="AC69" s="123"/>
      <c r="AD69" s="324" t="s">
        <v>66</v>
      </c>
      <c r="AE69" s="325"/>
      <c r="AF69" s="326"/>
      <c r="AG69" s="676"/>
      <c r="AH69" s="676"/>
      <c r="AI69" s="676"/>
      <c r="AJ69" s="677" t="s">
        <v>66</v>
      </c>
      <c r="AK69" s="678"/>
      <c r="AL69" s="679"/>
      <c r="AM69" s="680"/>
      <c r="AN69" s="681"/>
      <c r="AO69" s="682"/>
      <c r="AP69" s="683"/>
      <c r="AQ69" s="684"/>
      <c r="AR69" s="685"/>
      <c r="AS69" s="686"/>
      <c r="AU69" s="136" t="str" cm="1">
        <f t="array" ref="AU69">_xlfn.IFS(AM69&gt;3,"A",AM69=3,"Q",AM69&lt;3,"U")</f>
        <v>U</v>
      </c>
    </row>
    <row r="70" spans="1:47" ht="38.25" customHeight="1">
      <c r="A70" s="670" t="s">
        <v>123</v>
      </c>
      <c r="B70" s="671"/>
      <c r="C70" s="671"/>
      <c r="D70" s="671"/>
      <c r="E70" s="671"/>
      <c r="F70" s="671"/>
      <c r="G70" s="671"/>
      <c r="H70" s="671"/>
      <c r="I70" s="672"/>
      <c r="J70" s="680"/>
      <c r="K70" s="681"/>
      <c r="L70" s="681"/>
      <c r="M70" s="681"/>
      <c r="N70" s="681"/>
      <c r="O70" s="681"/>
      <c r="P70" s="681"/>
      <c r="Q70" s="682"/>
      <c r="R70" s="317" t="s">
        <v>65</v>
      </c>
      <c r="S70" s="318"/>
      <c r="T70" s="319"/>
      <c r="U70" s="320"/>
      <c r="V70" s="320"/>
      <c r="W70" s="320"/>
      <c r="X70" s="321"/>
      <c r="Y70" s="322" t="s">
        <v>36</v>
      </c>
      <c r="Z70" s="323"/>
      <c r="AA70" s="123"/>
      <c r="AB70" s="123"/>
      <c r="AC70" s="123"/>
      <c r="AD70" s="324" t="s">
        <v>66</v>
      </c>
      <c r="AE70" s="325"/>
      <c r="AF70" s="326"/>
      <c r="AG70" s="676"/>
      <c r="AH70" s="676"/>
      <c r="AI70" s="676"/>
      <c r="AJ70" s="677" t="s">
        <v>66</v>
      </c>
      <c r="AK70" s="678"/>
      <c r="AL70" s="679"/>
      <c r="AM70" s="680"/>
      <c r="AN70" s="681"/>
      <c r="AO70" s="682"/>
      <c r="AP70" s="683"/>
      <c r="AQ70" s="684"/>
      <c r="AR70" s="685"/>
      <c r="AS70" s="686"/>
      <c r="AU70" s="136" t="str" cm="1">
        <f t="array" ref="AU70">_xlfn.IFS(AM70&gt;3,"A",AM70=3,"Q",AM70&lt;3,"U")</f>
        <v>U</v>
      </c>
    </row>
    <row r="71" spans="1:47" ht="39" customHeight="1" thickBot="1">
      <c r="A71" s="687" t="s">
        <v>124</v>
      </c>
      <c r="B71" s="688"/>
      <c r="C71" s="688"/>
      <c r="D71" s="688"/>
      <c r="E71" s="688"/>
      <c r="F71" s="688"/>
      <c r="G71" s="688"/>
      <c r="H71" s="688"/>
      <c r="I71" s="689"/>
      <c r="J71" s="690"/>
      <c r="K71" s="691"/>
      <c r="L71" s="691"/>
      <c r="M71" s="691"/>
      <c r="N71" s="691"/>
      <c r="O71" s="691"/>
      <c r="P71" s="691"/>
      <c r="Q71" s="692"/>
      <c r="R71" s="477" t="s">
        <v>65</v>
      </c>
      <c r="S71" s="478"/>
      <c r="T71" s="479"/>
      <c r="U71" s="411"/>
      <c r="V71" s="411"/>
      <c r="W71" s="411"/>
      <c r="X71" s="480"/>
      <c r="Y71" s="481" t="s">
        <v>36</v>
      </c>
      <c r="Z71" s="482"/>
      <c r="AA71" s="415"/>
      <c r="AB71" s="415"/>
      <c r="AC71" s="415"/>
      <c r="AD71" s="483" t="s">
        <v>66</v>
      </c>
      <c r="AE71" s="484"/>
      <c r="AF71" s="485"/>
      <c r="AG71" s="693"/>
      <c r="AH71" s="693" t="s">
        <v>121</v>
      </c>
      <c r="AI71" s="693">
        <v>2019</v>
      </c>
      <c r="AJ71" s="694" t="s">
        <v>66</v>
      </c>
      <c r="AK71" s="695"/>
      <c r="AL71" s="696"/>
      <c r="AM71" s="697"/>
      <c r="AN71" s="698"/>
      <c r="AO71" s="699"/>
      <c r="AP71" s="700"/>
      <c r="AQ71" s="701"/>
      <c r="AR71" s="702"/>
      <c r="AS71" s="703"/>
      <c r="AU71" s="136" t="str" cm="1">
        <f t="array" ref="AU71">_xlfn.IFS(AM71&gt;3,"A",AM71=3,"Q",AM71&lt;3,"U")</f>
        <v>U</v>
      </c>
    </row>
    <row r="72" spans="1:47" ht="54" thickBot="1">
      <c r="A72" s="704" t="s">
        <v>125</v>
      </c>
      <c r="B72" s="705"/>
      <c r="C72" s="705"/>
      <c r="D72" s="705"/>
      <c r="E72" s="705"/>
      <c r="F72" s="705"/>
      <c r="G72" s="705"/>
      <c r="H72" s="705"/>
      <c r="I72" s="705"/>
      <c r="J72" s="705"/>
      <c r="K72" s="705"/>
      <c r="L72" s="705"/>
      <c r="M72" s="705"/>
      <c r="N72" s="705"/>
      <c r="O72" s="705"/>
      <c r="P72" s="705"/>
      <c r="Q72" s="705"/>
      <c r="R72" s="705"/>
      <c r="S72" s="705"/>
      <c r="T72" s="705"/>
      <c r="U72" s="705"/>
      <c r="V72" s="705"/>
      <c r="W72" s="705"/>
      <c r="X72" s="705"/>
      <c r="Y72" s="705"/>
      <c r="Z72" s="705"/>
      <c r="AA72" s="705"/>
      <c r="AB72" s="705"/>
      <c r="AC72" s="705"/>
      <c r="AD72" s="705"/>
      <c r="AE72" s="705"/>
      <c r="AF72" s="705"/>
      <c r="AG72" s="705"/>
      <c r="AH72" s="705"/>
      <c r="AI72" s="705"/>
      <c r="AJ72" s="705"/>
      <c r="AK72" s="705"/>
      <c r="AL72" s="705"/>
      <c r="AM72" s="705"/>
      <c r="AN72" s="705"/>
      <c r="AO72" s="706"/>
      <c r="AP72" s="707">
        <f>SUM(AP8:AR71)</f>
        <v>100</v>
      </c>
      <c r="AQ72" s="708"/>
      <c r="AR72" s="708"/>
      <c r="AS72" s="709">
        <f>(SUM(AS8:AS71)/500)*100</f>
        <v>0</v>
      </c>
      <c r="AU72" s="136"/>
    </row>
    <row r="73" spans="1:47" ht="54" thickBot="1">
      <c r="A73" s="710" t="s">
        <v>126</v>
      </c>
      <c r="B73" s="711"/>
      <c r="C73" s="711"/>
      <c r="D73" s="711"/>
      <c r="E73" s="711"/>
      <c r="F73" s="711"/>
      <c r="G73" s="711"/>
      <c r="H73" s="711"/>
      <c r="I73" s="711"/>
      <c r="J73" s="711"/>
      <c r="K73" s="711"/>
      <c r="L73" s="711"/>
      <c r="M73" s="711"/>
      <c r="N73" s="711"/>
      <c r="O73" s="711"/>
      <c r="P73" s="711"/>
      <c r="Q73" s="711"/>
      <c r="R73" s="711"/>
      <c r="S73" s="711"/>
      <c r="T73" s="711"/>
      <c r="U73" s="711"/>
      <c r="V73" s="711"/>
      <c r="W73" s="711"/>
      <c r="X73" s="711"/>
      <c r="Y73" s="711"/>
      <c r="Z73" s="711"/>
      <c r="AA73" s="711"/>
      <c r="AB73" s="711"/>
      <c r="AC73" s="711"/>
      <c r="AD73" s="711"/>
      <c r="AE73" s="711"/>
      <c r="AF73" s="711"/>
      <c r="AG73" s="711"/>
      <c r="AH73" s="711"/>
      <c r="AI73" s="711"/>
      <c r="AJ73" s="711"/>
      <c r="AK73" s="711"/>
      <c r="AL73" s="711"/>
      <c r="AM73" s="711"/>
      <c r="AN73" s="711"/>
      <c r="AO73" s="711"/>
      <c r="AP73" s="711"/>
      <c r="AQ73" s="711"/>
      <c r="AR73" s="711"/>
      <c r="AS73" s="711"/>
      <c r="AU73" s="136"/>
    </row>
    <row r="74" spans="1:47" ht="38.4">
      <c r="A74" s="712" t="s">
        <v>15</v>
      </c>
      <c r="B74" s="713"/>
      <c r="C74" s="713"/>
      <c r="D74" s="713"/>
      <c r="E74" s="713"/>
      <c r="F74" s="713"/>
      <c r="G74" s="713"/>
      <c r="H74" s="713"/>
      <c r="I74" s="713"/>
      <c r="J74" s="714" t="s">
        <v>16</v>
      </c>
      <c r="K74" s="713"/>
      <c r="L74" s="713"/>
      <c r="M74" s="713"/>
      <c r="N74" s="713"/>
      <c r="O74" s="713"/>
      <c r="P74" s="713"/>
      <c r="Q74" s="715"/>
      <c r="R74" s="716" t="s">
        <v>18</v>
      </c>
      <c r="S74" s="717"/>
      <c r="T74" s="717"/>
      <c r="U74" s="717"/>
      <c r="V74" s="717"/>
      <c r="W74" s="717"/>
      <c r="X74" s="717"/>
      <c r="Y74" s="717"/>
      <c r="Z74" s="717"/>
      <c r="AA74" s="717"/>
      <c r="AB74" s="717"/>
      <c r="AC74" s="717"/>
      <c r="AD74" s="717"/>
      <c r="AE74" s="717"/>
      <c r="AF74" s="718"/>
      <c r="AG74" s="714" t="s">
        <v>19</v>
      </c>
      <c r="AH74" s="713"/>
      <c r="AI74" s="713"/>
      <c r="AJ74" s="719" t="s">
        <v>20</v>
      </c>
      <c r="AK74" s="713"/>
      <c r="AL74" s="720"/>
      <c r="AM74" s="713" t="s">
        <v>21</v>
      </c>
      <c r="AN74" s="713"/>
      <c r="AO74" s="715"/>
      <c r="AP74" s="714" t="s">
        <v>22</v>
      </c>
      <c r="AQ74" s="713"/>
      <c r="AR74" s="715"/>
      <c r="AS74" s="721" t="s">
        <v>127</v>
      </c>
      <c r="AU74" s="136"/>
    </row>
    <row r="75" spans="1:47" ht="39" thickBot="1">
      <c r="A75" s="722"/>
      <c r="B75" s="723"/>
      <c r="C75" s="723"/>
      <c r="D75" s="723"/>
      <c r="E75" s="723"/>
      <c r="F75" s="723"/>
      <c r="G75" s="723"/>
      <c r="H75" s="723"/>
      <c r="I75" s="723"/>
      <c r="J75" s="724"/>
      <c r="K75" s="723"/>
      <c r="L75" s="723"/>
      <c r="M75" s="723"/>
      <c r="N75" s="723"/>
      <c r="O75" s="723"/>
      <c r="P75" s="723"/>
      <c r="Q75" s="725"/>
      <c r="R75" s="726"/>
      <c r="S75" s="727">
        <v>1</v>
      </c>
      <c r="T75" s="728"/>
      <c r="U75" s="276"/>
      <c r="V75" s="276">
        <v>2</v>
      </c>
      <c r="W75" s="276"/>
      <c r="X75" s="273"/>
      <c r="Y75" s="729">
        <v>3</v>
      </c>
      <c r="Z75" s="536"/>
      <c r="AA75" s="730"/>
      <c r="AB75" s="730">
        <v>4</v>
      </c>
      <c r="AC75" s="730"/>
      <c r="AD75" s="731"/>
      <c r="AE75" s="732">
        <v>5</v>
      </c>
      <c r="AF75" s="733"/>
      <c r="AG75" s="724"/>
      <c r="AH75" s="723"/>
      <c r="AI75" s="723"/>
      <c r="AJ75" s="734"/>
      <c r="AK75" s="723"/>
      <c r="AL75" s="735"/>
      <c r="AM75" s="723"/>
      <c r="AN75" s="723"/>
      <c r="AO75" s="725"/>
      <c r="AP75" s="724"/>
      <c r="AQ75" s="723"/>
      <c r="AR75" s="725"/>
      <c r="AS75" s="736" t="s">
        <v>30</v>
      </c>
      <c r="AU75" s="136"/>
    </row>
    <row r="76" spans="1:47" ht="42">
      <c r="A76" s="737" t="s">
        <v>128</v>
      </c>
      <c r="B76" s="738"/>
      <c r="C76" s="739"/>
      <c r="D76" s="739"/>
      <c r="E76" s="739"/>
      <c r="F76" s="739"/>
      <c r="G76" s="739"/>
      <c r="H76" s="739"/>
      <c r="I76" s="739"/>
      <c r="J76" s="740" t="s">
        <v>129</v>
      </c>
      <c r="K76" s="741"/>
      <c r="L76" s="741"/>
      <c r="M76" s="741"/>
      <c r="N76" s="741"/>
      <c r="O76" s="741"/>
      <c r="P76" s="741"/>
      <c r="Q76" s="742"/>
      <c r="R76" s="743"/>
      <c r="S76" s="744" t="s">
        <v>35</v>
      </c>
      <c r="T76" s="745">
        <v>20</v>
      </c>
      <c r="U76" s="746"/>
      <c r="V76" s="746"/>
      <c r="W76" s="746"/>
      <c r="X76" s="747">
        <v>20</v>
      </c>
      <c r="Y76" s="748" t="s">
        <v>36</v>
      </c>
      <c r="Z76" s="749">
        <v>40</v>
      </c>
      <c r="AA76" s="750"/>
      <c r="AB76" s="750"/>
      <c r="AC76" s="750"/>
      <c r="AD76" s="751"/>
      <c r="AE76" s="752" t="s">
        <v>37</v>
      </c>
      <c r="AF76" s="753">
        <v>40</v>
      </c>
      <c r="AG76" s="81"/>
      <c r="AH76" s="626" t="s">
        <v>36</v>
      </c>
      <c r="AI76" s="626"/>
      <c r="AJ76" s="754"/>
      <c r="AK76" s="755"/>
      <c r="AL76" s="756"/>
      <c r="AM76" s="757" cm="1">
        <f t="array" ref="AM76">_xlfn.IFS(AJ76&lt;T76,$S$75,AJ76=U76,$V$75,AJ76&lt;W76,$V$75,AJ76=W76,$V$75,AJ76=X76,$Y$75,AJ76&lt;Z76,$Y$75,AJ76=Z76,$Y$75,AJ76=AA76,$AB$75,AJ76&lt;AC76,$AB$75,AJ76=AC76,$AB$75,AJ76&gt;AF76,$AE$75)</f>
        <v>1</v>
      </c>
      <c r="AN76" s="757"/>
      <c r="AO76" s="758"/>
      <c r="AP76" s="759">
        <v>25</v>
      </c>
      <c r="AQ76" s="760"/>
      <c r="AR76" s="761"/>
      <c r="AS76" s="762">
        <f>AM76*AP76</f>
        <v>25</v>
      </c>
      <c r="AU76" s="136"/>
    </row>
    <row r="77" spans="1:47" ht="42">
      <c r="A77" s="763" t="s">
        <v>130</v>
      </c>
      <c r="B77" s="764"/>
      <c r="C77" s="765"/>
      <c r="D77" s="765"/>
      <c r="E77" s="765"/>
      <c r="F77" s="765"/>
      <c r="G77" s="765"/>
      <c r="H77" s="765"/>
      <c r="I77" s="765"/>
      <c r="J77" s="766" t="s">
        <v>36</v>
      </c>
      <c r="K77" s="767"/>
      <c r="L77" s="767"/>
      <c r="M77" s="767"/>
      <c r="N77" s="767"/>
      <c r="O77" s="767"/>
      <c r="P77" s="767"/>
      <c r="Q77" s="768"/>
      <c r="R77" s="769"/>
      <c r="S77" s="770" t="s">
        <v>35</v>
      </c>
      <c r="T77" s="771">
        <v>5</v>
      </c>
      <c r="U77" s="772"/>
      <c r="V77" s="772"/>
      <c r="W77" s="772"/>
      <c r="X77" s="773">
        <v>5</v>
      </c>
      <c r="Y77" s="774" t="s">
        <v>36</v>
      </c>
      <c r="Z77" s="775">
        <v>8</v>
      </c>
      <c r="AA77" s="776"/>
      <c r="AB77" s="776"/>
      <c r="AC77" s="776"/>
      <c r="AD77" s="777"/>
      <c r="AE77" s="778" t="s">
        <v>37</v>
      </c>
      <c r="AF77" s="779">
        <v>8</v>
      </c>
      <c r="AG77" s="780"/>
      <c r="AH77" s="781" t="s">
        <v>36</v>
      </c>
      <c r="AI77" s="781"/>
      <c r="AJ77" s="782"/>
      <c r="AK77" s="783"/>
      <c r="AL77" s="784"/>
      <c r="AM77" s="785">
        <f>IF(AJ77&lt;T77,$S$75,IF(AJ77&gt;AF77,$AE$75,$Y$75))</f>
        <v>1</v>
      </c>
      <c r="AN77" s="785"/>
      <c r="AO77" s="786"/>
      <c r="AP77" s="787">
        <v>25</v>
      </c>
      <c r="AQ77" s="788"/>
      <c r="AR77" s="789"/>
      <c r="AS77" s="790">
        <f t="shared" ref="AS77:AS78" si="4">AM77*AP77</f>
        <v>25</v>
      </c>
      <c r="AU77" s="136"/>
    </row>
    <row r="78" spans="1:47" ht="42">
      <c r="A78" s="763" t="s">
        <v>131</v>
      </c>
      <c r="B78" s="764"/>
      <c r="C78" s="765"/>
      <c r="D78" s="765"/>
      <c r="E78" s="765"/>
      <c r="F78" s="765"/>
      <c r="G78" s="765"/>
      <c r="H78" s="765"/>
      <c r="I78" s="765"/>
      <c r="J78" s="766" t="s">
        <v>132</v>
      </c>
      <c r="K78" s="767"/>
      <c r="L78" s="767"/>
      <c r="M78" s="767"/>
      <c r="N78" s="767"/>
      <c r="O78" s="767"/>
      <c r="P78" s="767"/>
      <c r="Q78" s="768"/>
      <c r="R78" s="791" t="s">
        <v>133</v>
      </c>
      <c r="S78" s="792"/>
      <c r="T78" s="793"/>
      <c r="U78" s="772"/>
      <c r="V78" s="772"/>
      <c r="W78" s="772"/>
      <c r="X78" s="794" t="s">
        <v>134</v>
      </c>
      <c r="Y78" s="795"/>
      <c r="Z78" s="796"/>
      <c r="AA78" s="776"/>
      <c r="AB78" s="776"/>
      <c r="AC78" s="776"/>
      <c r="AD78" s="797" t="s">
        <v>135</v>
      </c>
      <c r="AE78" s="798"/>
      <c r="AF78" s="799"/>
      <c r="AG78" s="780"/>
      <c r="AH78" s="781" t="s">
        <v>36</v>
      </c>
      <c r="AI78" s="800"/>
      <c r="AJ78" s="801"/>
      <c r="AK78" s="802"/>
      <c r="AL78" s="803"/>
      <c r="AM78" s="785">
        <f>IF(AJ78=R78,$S$75,$AE$75)</f>
        <v>5</v>
      </c>
      <c r="AN78" s="785"/>
      <c r="AO78" s="786"/>
      <c r="AP78" s="787">
        <v>25</v>
      </c>
      <c r="AQ78" s="788"/>
      <c r="AR78" s="789"/>
      <c r="AS78" s="790">
        <f t="shared" si="4"/>
        <v>125</v>
      </c>
      <c r="AU78" s="136"/>
    </row>
    <row r="79" spans="1:47" ht="42">
      <c r="A79" s="804" t="s">
        <v>136</v>
      </c>
      <c r="B79" s="764"/>
      <c r="C79" s="765"/>
      <c r="D79" s="765"/>
      <c r="E79" s="765"/>
      <c r="F79" s="765"/>
      <c r="G79" s="765"/>
      <c r="H79" s="765"/>
      <c r="I79" s="765"/>
      <c r="J79" s="766" t="s">
        <v>137</v>
      </c>
      <c r="K79" s="767"/>
      <c r="L79" s="767"/>
      <c r="M79" s="767"/>
      <c r="N79" s="767"/>
      <c r="O79" s="767"/>
      <c r="P79" s="767"/>
      <c r="Q79" s="768"/>
      <c r="R79" s="769"/>
      <c r="S79" s="770" t="s">
        <v>35</v>
      </c>
      <c r="T79" s="771">
        <v>20</v>
      </c>
      <c r="U79" s="772">
        <v>20</v>
      </c>
      <c r="V79" s="772" t="s">
        <v>36</v>
      </c>
      <c r="W79" s="772">
        <v>39</v>
      </c>
      <c r="X79" s="773">
        <v>40</v>
      </c>
      <c r="Y79" s="774" t="s">
        <v>36</v>
      </c>
      <c r="Z79" s="775">
        <v>59</v>
      </c>
      <c r="AA79" s="776">
        <v>60</v>
      </c>
      <c r="AB79" s="776" t="s">
        <v>36</v>
      </c>
      <c r="AC79" s="776">
        <v>79</v>
      </c>
      <c r="AD79" s="777"/>
      <c r="AE79" s="778" t="s">
        <v>37</v>
      </c>
      <c r="AF79" s="779">
        <v>80</v>
      </c>
      <c r="AG79" s="780"/>
      <c r="AH79" s="781" t="s">
        <v>36</v>
      </c>
      <c r="AI79" s="800"/>
      <c r="AJ79" s="805"/>
      <c r="AK79" s="806"/>
      <c r="AL79" s="807"/>
      <c r="AM79" s="785" cm="1">
        <f t="array" ref="AM79">_xlfn.IFS(AJ79&lt;T79,$S$75,AJ79=U79,$V$75,AJ79&lt;X79,$V$75,AJ79&lt;AA79,$Y$75,AJ79&lt;AF79,$AB$75,AJ79=AF79,$AE$75,AJ79&gt;AF79,$AE$75)</f>
        <v>1</v>
      </c>
      <c r="AN79" s="785"/>
      <c r="AO79" s="786"/>
      <c r="AP79" s="808">
        <v>25</v>
      </c>
      <c r="AQ79" s="809"/>
      <c r="AR79" s="810"/>
      <c r="AS79" s="790">
        <f>AM79*AP79</f>
        <v>25</v>
      </c>
      <c r="AU79" s="136"/>
    </row>
    <row r="80" spans="1:47" ht="39" thickBot="1">
      <c r="A80" s="811"/>
      <c r="B80" s="812"/>
      <c r="C80" s="812"/>
      <c r="D80" s="812"/>
      <c r="E80" s="812"/>
      <c r="F80" s="812"/>
      <c r="G80" s="812"/>
      <c r="H80" s="812"/>
      <c r="I80" s="812"/>
      <c r="J80" s="813"/>
      <c r="K80" s="814"/>
      <c r="L80" s="814"/>
      <c r="M80" s="814"/>
      <c r="N80" s="814"/>
      <c r="O80" s="814"/>
      <c r="P80" s="814"/>
      <c r="Q80" s="815"/>
      <c r="R80" s="816"/>
      <c r="S80" s="817"/>
      <c r="T80" s="818"/>
      <c r="U80" s="819"/>
      <c r="V80" s="819"/>
      <c r="W80" s="819"/>
      <c r="X80" s="816"/>
      <c r="Y80" s="817"/>
      <c r="Z80" s="818"/>
      <c r="AA80" s="819"/>
      <c r="AB80" s="819"/>
      <c r="AC80" s="819"/>
      <c r="AD80" s="816"/>
      <c r="AE80" s="817"/>
      <c r="AF80" s="818"/>
      <c r="AG80" s="820"/>
      <c r="AH80" s="821"/>
      <c r="AI80" s="822"/>
      <c r="AJ80" s="813"/>
      <c r="AK80" s="814"/>
      <c r="AL80" s="815"/>
      <c r="AM80" s="816"/>
      <c r="AN80" s="817"/>
      <c r="AO80" s="818"/>
      <c r="AP80" s="823"/>
      <c r="AQ80" s="824"/>
      <c r="AR80" s="825"/>
      <c r="AS80" s="826"/>
      <c r="AU80" s="136"/>
    </row>
    <row r="81" spans="1:47" ht="54" thickBot="1">
      <c r="A81" s="827" t="s">
        <v>125</v>
      </c>
      <c r="B81" s="828"/>
      <c r="C81" s="828"/>
      <c r="D81" s="828"/>
      <c r="E81" s="828"/>
      <c r="F81" s="828"/>
      <c r="G81" s="828"/>
      <c r="H81" s="828"/>
      <c r="I81" s="828"/>
      <c r="J81" s="828"/>
      <c r="K81" s="828"/>
      <c r="L81" s="828"/>
      <c r="M81" s="828"/>
      <c r="N81" s="828"/>
      <c r="O81" s="828"/>
      <c r="P81" s="828"/>
      <c r="Q81" s="828"/>
      <c r="R81" s="828"/>
      <c r="S81" s="828"/>
      <c r="T81" s="828"/>
      <c r="U81" s="828"/>
      <c r="V81" s="828"/>
      <c r="W81" s="828"/>
      <c r="X81" s="828"/>
      <c r="Y81" s="828"/>
      <c r="Z81" s="828"/>
      <c r="AA81" s="828"/>
      <c r="AB81" s="828"/>
      <c r="AC81" s="828"/>
      <c r="AD81" s="828"/>
      <c r="AE81" s="828"/>
      <c r="AF81" s="828"/>
      <c r="AG81" s="828"/>
      <c r="AH81" s="828"/>
      <c r="AI81" s="828"/>
      <c r="AJ81" s="828"/>
      <c r="AK81" s="828"/>
      <c r="AL81" s="828"/>
      <c r="AM81" s="828"/>
      <c r="AN81" s="828"/>
      <c r="AO81" s="829"/>
      <c r="AP81" s="830">
        <f>SUM(AP76:AR80)</f>
        <v>100</v>
      </c>
      <c r="AQ81" s="831"/>
      <c r="AR81" s="831"/>
      <c r="AS81" s="832">
        <f>100-(SUM(AS76:AT80)/500)*100</f>
        <v>60</v>
      </c>
      <c r="AU81" s="136"/>
    </row>
    <row r="82" spans="1:47" ht="60.75" customHeight="1" thickBot="1">
      <c r="A82" s="833" t="s">
        <v>138</v>
      </c>
      <c r="B82" s="834"/>
      <c r="C82" s="834"/>
      <c r="D82" s="834"/>
      <c r="E82" s="834"/>
      <c r="F82" s="834"/>
      <c r="G82" s="834"/>
      <c r="H82" s="834"/>
      <c r="I82" s="834"/>
      <c r="J82" s="834"/>
      <c r="K82" s="834"/>
      <c r="L82" s="834"/>
      <c r="M82" s="834"/>
      <c r="N82" s="834"/>
      <c r="O82" s="834"/>
      <c r="P82" s="834"/>
      <c r="Q82" s="834"/>
      <c r="R82" s="834"/>
      <c r="S82" s="834"/>
      <c r="T82" s="834"/>
      <c r="U82" s="834"/>
      <c r="V82" s="834"/>
      <c r="W82" s="834"/>
      <c r="X82" s="834"/>
      <c r="Y82" s="834"/>
      <c r="Z82" s="834"/>
      <c r="AA82" s="834"/>
      <c r="AB82" s="834"/>
      <c r="AC82" s="834"/>
      <c r="AD82" s="834"/>
      <c r="AE82" s="834"/>
      <c r="AF82" s="834"/>
      <c r="AG82" s="834"/>
      <c r="AH82" s="834"/>
      <c r="AI82" s="834"/>
      <c r="AJ82" s="834"/>
      <c r="AK82" s="834"/>
      <c r="AL82" s="834"/>
      <c r="AM82" s="834"/>
      <c r="AN82" s="834"/>
      <c r="AO82" s="834"/>
      <c r="AP82" s="834"/>
      <c r="AQ82" s="834"/>
      <c r="AR82" s="835"/>
      <c r="AS82" s="836">
        <f>100-((AS72*0.8)+(AS81*0.2))</f>
        <v>88</v>
      </c>
      <c r="AU82" s="136"/>
    </row>
    <row r="83" spans="1:47" ht="52.35" customHeight="1" thickBo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U83" s="136"/>
    </row>
    <row r="84" spans="1:47" ht="54" thickBot="1">
      <c r="A84" s="837" t="s">
        <v>139</v>
      </c>
      <c r="B84" s="838"/>
      <c r="C84" s="838"/>
      <c r="D84" s="838"/>
      <c r="E84" s="838"/>
      <c r="F84" s="838"/>
      <c r="G84" s="838"/>
      <c r="H84" s="838"/>
      <c r="I84" s="838"/>
      <c r="J84" s="838"/>
      <c r="K84" s="838"/>
      <c r="L84" s="838"/>
      <c r="M84" s="838"/>
      <c r="N84" s="838"/>
      <c r="O84" s="838"/>
      <c r="P84" s="838"/>
      <c r="Q84" s="838"/>
      <c r="R84" s="838"/>
      <c r="S84" s="838"/>
      <c r="T84" s="838"/>
      <c r="U84" s="838"/>
      <c r="V84" s="838"/>
      <c r="W84" s="838"/>
      <c r="X84" s="838"/>
      <c r="Y84" s="838"/>
      <c r="Z84" s="838"/>
      <c r="AA84" s="838"/>
      <c r="AB84" s="838"/>
      <c r="AC84" s="838"/>
      <c r="AD84" s="838"/>
      <c r="AE84" s="838"/>
      <c r="AF84" s="838"/>
      <c r="AG84" s="838"/>
      <c r="AH84" s="838"/>
      <c r="AI84" s="838"/>
      <c r="AJ84" s="838"/>
      <c r="AK84" s="838"/>
      <c r="AL84" s="838"/>
      <c r="AM84" s="838"/>
      <c r="AN84" s="838"/>
      <c r="AO84" s="838"/>
      <c r="AP84" s="838"/>
      <c r="AQ84" s="838"/>
      <c r="AR84" s="838"/>
      <c r="AS84" s="839"/>
      <c r="AU84" s="136"/>
    </row>
    <row r="85" spans="1:47" ht="38.4">
      <c r="A85" s="712" t="s">
        <v>15</v>
      </c>
      <c r="B85" s="713"/>
      <c r="C85" s="713"/>
      <c r="D85" s="713"/>
      <c r="E85" s="713"/>
      <c r="F85" s="713"/>
      <c r="G85" s="713"/>
      <c r="H85" s="713"/>
      <c r="I85" s="713"/>
      <c r="J85" s="714" t="s">
        <v>16</v>
      </c>
      <c r="K85" s="713"/>
      <c r="L85" s="713"/>
      <c r="M85" s="713"/>
      <c r="N85" s="713"/>
      <c r="O85" s="713"/>
      <c r="P85" s="713"/>
      <c r="Q85" s="715"/>
      <c r="R85" s="716" t="s">
        <v>18</v>
      </c>
      <c r="S85" s="717"/>
      <c r="T85" s="717"/>
      <c r="U85" s="717"/>
      <c r="V85" s="717"/>
      <c r="W85" s="717"/>
      <c r="X85" s="717"/>
      <c r="Y85" s="717"/>
      <c r="Z85" s="717"/>
      <c r="AA85" s="717"/>
      <c r="AB85" s="717"/>
      <c r="AC85" s="717"/>
      <c r="AD85" s="717"/>
      <c r="AE85" s="717"/>
      <c r="AF85" s="718"/>
      <c r="AG85" s="714" t="s">
        <v>19</v>
      </c>
      <c r="AH85" s="713"/>
      <c r="AI85" s="713"/>
      <c r="AJ85" s="719" t="s">
        <v>20</v>
      </c>
      <c r="AK85" s="713"/>
      <c r="AL85" s="720"/>
      <c r="AM85" s="713" t="s">
        <v>21</v>
      </c>
      <c r="AN85" s="713"/>
      <c r="AO85" s="715"/>
      <c r="AP85" s="714" t="s">
        <v>22</v>
      </c>
      <c r="AQ85" s="713"/>
      <c r="AR85" s="715"/>
      <c r="AS85" s="721" t="s">
        <v>139</v>
      </c>
      <c r="AU85" s="136"/>
    </row>
    <row r="86" spans="1:47" ht="34.5" customHeight="1" thickBot="1">
      <c r="A86" s="722"/>
      <c r="B86" s="723"/>
      <c r="C86" s="723"/>
      <c r="D86" s="723"/>
      <c r="E86" s="723"/>
      <c r="F86" s="723"/>
      <c r="G86" s="723"/>
      <c r="H86" s="723"/>
      <c r="I86" s="723"/>
      <c r="J86" s="724"/>
      <c r="K86" s="723"/>
      <c r="L86" s="723"/>
      <c r="M86" s="723"/>
      <c r="N86" s="723"/>
      <c r="O86" s="723"/>
      <c r="P86" s="723"/>
      <c r="Q86" s="725"/>
      <c r="R86" s="840"/>
      <c r="S86" s="841">
        <v>1</v>
      </c>
      <c r="T86" s="842"/>
      <c r="U86" s="843"/>
      <c r="V86" s="844">
        <v>2</v>
      </c>
      <c r="W86" s="843"/>
      <c r="X86" s="845"/>
      <c r="Y86" s="846">
        <v>3</v>
      </c>
      <c r="Z86" s="847"/>
      <c r="AA86" s="848"/>
      <c r="AB86" s="849">
        <v>4</v>
      </c>
      <c r="AC86" s="848"/>
      <c r="AD86" s="850"/>
      <c r="AE86" s="851">
        <v>5</v>
      </c>
      <c r="AF86" s="852"/>
      <c r="AG86" s="724"/>
      <c r="AH86" s="723"/>
      <c r="AI86" s="723"/>
      <c r="AJ86" s="734"/>
      <c r="AK86" s="723"/>
      <c r="AL86" s="735"/>
      <c r="AM86" s="723"/>
      <c r="AN86" s="723"/>
      <c r="AO86" s="725"/>
      <c r="AP86" s="724"/>
      <c r="AQ86" s="723"/>
      <c r="AR86" s="725"/>
      <c r="AS86" s="736" t="s">
        <v>30</v>
      </c>
      <c r="AU86" s="136"/>
    </row>
    <row r="87" spans="1:47" ht="35.25" customHeight="1">
      <c r="A87" s="853" t="s">
        <v>140</v>
      </c>
      <c r="B87" s="854"/>
      <c r="C87" s="855"/>
      <c r="D87" s="855"/>
      <c r="E87" s="855"/>
      <c r="F87" s="855"/>
      <c r="G87" s="855"/>
      <c r="H87" s="855"/>
      <c r="I87" s="855"/>
      <c r="J87" s="856" t="s">
        <v>141</v>
      </c>
      <c r="K87" s="857"/>
      <c r="L87" s="857"/>
      <c r="M87" s="857"/>
      <c r="N87" s="857"/>
      <c r="O87" s="857"/>
      <c r="P87" s="857"/>
      <c r="Q87" s="858"/>
      <c r="R87" s="859"/>
      <c r="S87" s="860" t="s">
        <v>35</v>
      </c>
      <c r="T87" s="861">
        <v>1</v>
      </c>
      <c r="U87" s="862">
        <v>2</v>
      </c>
      <c r="V87" s="862" t="s">
        <v>36</v>
      </c>
      <c r="W87" s="862">
        <v>5</v>
      </c>
      <c r="X87" s="863">
        <v>6</v>
      </c>
      <c r="Y87" s="864" t="s">
        <v>36</v>
      </c>
      <c r="Z87" s="865">
        <v>10</v>
      </c>
      <c r="AA87" s="866">
        <v>11</v>
      </c>
      <c r="AB87" s="866" t="s">
        <v>36</v>
      </c>
      <c r="AC87" s="866">
        <v>14</v>
      </c>
      <c r="AD87" s="867"/>
      <c r="AE87" s="868" t="s">
        <v>142</v>
      </c>
      <c r="AF87" s="869">
        <v>15</v>
      </c>
      <c r="AG87" s="870" t="s">
        <v>36</v>
      </c>
      <c r="AH87" s="871"/>
      <c r="AI87" s="872"/>
      <c r="AJ87" s="873"/>
      <c r="AK87" s="874"/>
      <c r="AL87" s="875"/>
      <c r="AM87" s="871" cm="1">
        <f t="array" ref="AM87">_xlfn.IFS(AK87&lt;T87,$S$86,AK87=U87,$V$86,AK87&lt;W87,$V$86,AK87=W87,$V$86,AK87=X87,$Y$86,AK87&lt;Z87,$Y$86,AK87=Z87,$Y$86,AK87=AA87,$AB$86,AK87&lt;AC87,$AB$86,AK87=AC87,$AB$86,AK87=AF87,$AE$86,AK87&gt;AF87,$AE$86)</f>
        <v>1</v>
      </c>
      <c r="AN87" s="871"/>
      <c r="AO87" s="876"/>
      <c r="AP87" s="870">
        <v>10</v>
      </c>
      <c r="AQ87" s="871"/>
      <c r="AR87" s="876"/>
      <c r="AS87" s="877">
        <f>AP87*AM87</f>
        <v>10</v>
      </c>
      <c r="AU87" s="136"/>
    </row>
    <row r="88" spans="1:47" ht="35.25" customHeight="1">
      <c r="A88" s="878" t="s">
        <v>143</v>
      </c>
      <c r="B88" s="879"/>
      <c r="C88" s="880"/>
      <c r="D88" s="880"/>
      <c r="E88" s="880"/>
      <c r="F88" s="880"/>
      <c r="G88" s="880"/>
      <c r="H88" s="880"/>
      <c r="I88" s="880"/>
      <c r="J88" s="881" t="s">
        <v>144</v>
      </c>
      <c r="K88" s="882"/>
      <c r="L88" s="882"/>
      <c r="M88" s="882"/>
      <c r="N88" s="882"/>
      <c r="O88" s="882"/>
      <c r="P88" s="882"/>
      <c r="Q88" s="883"/>
      <c r="R88" s="884"/>
      <c r="S88" s="885" t="s">
        <v>35</v>
      </c>
      <c r="T88" s="886">
        <v>2</v>
      </c>
      <c r="U88" s="887">
        <v>2</v>
      </c>
      <c r="V88" s="887" t="s">
        <v>36</v>
      </c>
      <c r="W88" s="887">
        <v>4</v>
      </c>
      <c r="X88" s="888">
        <v>5</v>
      </c>
      <c r="Y88" s="889" t="s">
        <v>36</v>
      </c>
      <c r="Z88" s="890">
        <v>7</v>
      </c>
      <c r="AA88" s="891">
        <v>8</v>
      </c>
      <c r="AB88" s="891" t="s">
        <v>36</v>
      </c>
      <c r="AC88" s="891">
        <v>10</v>
      </c>
      <c r="AD88" s="892"/>
      <c r="AE88" s="893" t="s">
        <v>37</v>
      </c>
      <c r="AF88" s="894">
        <v>10</v>
      </c>
      <c r="AG88" s="188" t="s">
        <v>36</v>
      </c>
      <c r="AH88" s="200"/>
      <c r="AI88" s="895"/>
      <c r="AJ88" s="896"/>
      <c r="AK88" s="897"/>
      <c r="AL88" s="898"/>
      <c r="AM88" s="200" cm="1">
        <f t="array" ref="AM88">_xlfn.IFS(AK88&lt;T88,$S$86,AK88=U88,$V$86,AK88&lt;W88,$V$86,AK88=W88,$V$86,AK88=X88,$Y$86,AK88&lt;Z88,$Y$86,AK88=Z88,$Y$86,AK88=AA88,$AB$86,AK88&lt;AC88,$AB$86,AK88=AC88,$AB$86,AK88&gt;AF88,$AE$86)</f>
        <v>1</v>
      </c>
      <c r="AN88" s="200"/>
      <c r="AO88" s="189"/>
      <c r="AP88" s="188">
        <v>10</v>
      </c>
      <c r="AQ88" s="200"/>
      <c r="AR88" s="189"/>
      <c r="AS88" s="899">
        <f t="shared" ref="AS88:AS92" si="5">AP88*AM88</f>
        <v>10</v>
      </c>
      <c r="AU88" s="136"/>
    </row>
    <row r="89" spans="1:47" ht="94.5" customHeight="1">
      <c r="A89" s="900" t="s">
        <v>145</v>
      </c>
      <c r="B89" s="901"/>
      <c r="C89" s="902"/>
      <c r="D89" s="902"/>
      <c r="E89" s="902"/>
      <c r="F89" s="902"/>
      <c r="G89" s="902"/>
      <c r="H89" s="902"/>
      <c r="I89" s="902"/>
      <c r="J89" s="903" t="s">
        <v>146</v>
      </c>
      <c r="K89" s="904"/>
      <c r="L89" s="904"/>
      <c r="M89" s="904"/>
      <c r="N89" s="904"/>
      <c r="O89" s="904"/>
      <c r="P89" s="904"/>
      <c r="Q89" s="905"/>
      <c r="R89" s="906" t="s">
        <v>147</v>
      </c>
      <c r="S89" s="907"/>
      <c r="T89" s="908"/>
      <c r="U89" s="909"/>
      <c r="V89" s="909" t="s">
        <v>36</v>
      </c>
      <c r="W89" s="909"/>
      <c r="X89" s="910"/>
      <c r="Y89" s="911" t="s">
        <v>36</v>
      </c>
      <c r="Z89" s="912"/>
      <c r="AA89" s="913"/>
      <c r="AB89" s="913" t="s">
        <v>36</v>
      </c>
      <c r="AC89" s="913"/>
      <c r="AD89" s="914" t="s">
        <v>148</v>
      </c>
      <c r="AE89" s="915"/>
      <c r="AF89" s="916"/>
      <c r="AG89" s="224" t="str">
        <f>IF($AG$87=0,"-",$AG$87)</f>
        <v>-</v>
      </c>
      <c r="AH89" s="917"/>
      <c r="AI89" s="918"/>
      <c r="AJ89" s="919"/>
      <c r="AK89" s="920"/>
      <c r="AL89" s="921"/>
      <c r="AM89" s="200">
        <f>IF(AJ89=R89,$S$75,IF(AJ89=AD89,$AE$75,$S$86))</f>
        <v>1</v>
      </c>
      <c r="AN89" s="200"/>
      <c r="AO89" s="189"/>
      <c r="AP89" s="922">
        <v>10</v>
      </c>
      <c r="AQ89" s="923"/>
      <c r="AR89" s="924"/>
      <c r="AS89" s="899">
        <f t="shared" si="5"/>
        <v>10</v>
      </c>
      <c r="AU89" s="136"/>
    </row>
    <row r="90" spans="1:47" ht="42">
      <c r="A90" s="878" t="s">
        <v>149</v>
      </c>
      <c r="B90" s="925"/>
      <c r="C90" s="926"/>
      <c r="D90" s="926"/>
      <c r="E90" s="926"/>
      <c r="F90" s="926"/>
      <c r="G90" s="926"/>
      <c r="H90" s="926"/>
      <c r="I90" s="926"/>
      <c r="J90" s="881" t="s">
        <v>150</v>
      </c>
      <c r="K90" s="927"/>
      <c r="L90" s="927"/>
      <c r="M90" s="927"/>
      <c r="N90" s="927"/>
      <c r="O90" s="927"/>
      <c r="P90" s="927"/>
      <c r="Q90" s="928"/>
      <c r="R90" s="929" t="s">
        <v>151</v>
      </c>
      <c r="S90" s="930"/>
      <c r="T90" s="931"/>
      <c r="U90" s="887"/>
      <c r="V90" s="887" t="s">
        <v>36</v>
      </c>
      <c r="W90" s="887"/>
      <c r="X90" s="932" t="s">
        <v>152</v>
      </c>
      <c r="Y90" s="933"/>
      <c r="Z90" s="934"/>
      <c r="AA90" s="935"/>
      <c r="AB90" s="935" t="s">
        <v>36</v>
      </c>
      <c r="AC90" s="935"/>
      <c r="AD90" s="936" t="s">
        <v>153</v>
      </c>
      <c r="AE90" s="937"/>
      <c r="AF90" s="938"/>
      <c r="AG90" s="188" t="str">
        <f t="shared" ref="AG90" si="6">IF($AG$87=0,"-",$AG$87)</f>
        <v>-</v>
      </c>
      <c r="AH90" s="200"/>
      <c r="AI90" s="895"/>
      <c r="AJ90" s="801"/>
      <c r="AK90" s="802"/>
      <c r="AL90" s="803"/>
      <c r="AM90" s="200">
        <f>IF(AJ90=R90,$S$86,IF(AJ90=X90,$Y$86,IF(AJ90=AD90,$AE$86,5)))</f>
        <v>5</v>
      </c>
      <c r="AN90" s="200"/>
      <c r="AO90" s="189"/>
      <c r="AP90" s="922">
        <v>10</v>
      </c>
      <c r="AQ90" s="923"/>
      <c r="AR90" s="924"/>
      <c r="AS90" s="899">
        <f t="shared" si="5"/>
        <v>50</v>
      </c>
      <c r="AU90" s="136"/>
    </row>
    <row r="91" spans="1:47" ht="35.25" customHeight="1">
      <c r="A91" s="878" t="s">
        <v>154</v>
      </c>
      <c r="B91" s="925"/>
      <c r="C91" s="926"/>
      <c r="D91" s="926"/>
      <c r="E91" s="926"/>
      <c r="F91" s="926"/>
      <c r="G91" s="926"/>
      <c r="H91" s="926"/>
      <c r="I91" s="926"/>
      <c r="J91" s="881" t="s">
        <v>155</v>
      </c>
      <c r="K91" s="882"/>
      <c r="L91" s="882"/>
      <c r="M91" s="882"/>
      <c r="N91" s="882"/>
      <c r="O91" s="882"/>
      <c r="P91" s="882"/>
      <c r="Q91" s="883"/>
      <c r="R91" s="939"/>
      <c r="S91" s="940" t="s">
        <v>35</v>
      </c>
      <c r="T91" s="941">
        <v>1</v>
      </c>
      <c r="U91" s="887">
        <v>1</v>
      </c>
      <c r="V91" s="887" t="s">
        <v>36</v>
      </c>
      <c r="W91" s="887">
        <v>4</v>
      </c>
      <c r="X91" s="942">
        <v>5</v>
      </c>
      <c r="Y91" s="943" t="s">
        <v>36</v>
      </c>
      <c r="Z91" s="944">
        <v>8</v>
      </c>
      <c r="AA91" s="891">
        <v>9</v>
      </c>
      <c r="AB91" s="891" t="s">
        <v>36</v>
      </c>
      <c r="AC91" s="891">
        <v>11</v>
      </c>
      <c r="AD91" s="945"/>
      <c r="AE91" s="868" t="s">
        <v>142</v>
      </c>
      <c r="AF91" s="946">
        <v>12</v>
      </c>
      <c r="AG91" s="947"/>
      <c r="AH91" s="948" t="s">
        <v>36</v>
      </c>
      <c r="AI91" s="949"/>
      <c r="AJ91" s="950"/>
      <c r="AK91" s="951"/>
      <c r="AL91" s="952"/>
      <c r="AM91" s="200" cm="1">
        <f t="array" ref="AM91">_xlfn.IFS(AK91&lt;T91,$S$86,AK91=U91,$V$86,AK91&lt;W91,$V$86,AK91=W91,$V$86,AK91=X91,$Y$86,AK91&lt;Z91,$Y$86,AK91=Z91,$Y$86,AK91=AA91,$AB$86,AK91&lt;AC91,$AB$86,AK91=AC91,$AB$86,AK91=AF91,$AE$86,AK91&gt;AF91,$AE$86)</f>
        <v>1</v>
      </c>
      <c r="AN91" s="200"/>
      <c r="AO91" s="189"/>
      <c r="AP91" s="922">
        <v>10</v>
      </c>
      <c r="AQ91" s="923"/>
      <c r="AR91" s="924"/>
      <c r="AS91" s="899">
        <f t="shared" si="5"/>
        <v>10</v>
      </c>
      <c r="AU91" s="136"/>
    </row>
    <row r="92" spans="1:47" ht="88.5" customHeight="1">
      <c r="A92" s="878" t="s">
        <v>156</v>
      </c>
      <c r="B92" s="925"/>
      <c r="C92" s="926"/>
      <c r="D92" s="926"/>
      <c r="E92" s="926"/>
      <c r="F92" s="926"/>
      <c r="G92" s="926"/>
      <c r="H92" s="926"/>
      <c r="I92" s="926"/>
      <c r="J92" s="881" t="s">
        <v>157</v>
      </c>
      <c r="K92" s="882"/>
      <c r="L92" s="882"/>
      <c r="M92" s="882"/>
      <c r="N92" s="882"/>
      <c r="O92" s="882"/>
      <c r="P92" s="882"/>
      <c r="Q92" s="883"/>
      <c r="R92" s="953" t="s">
        <v>158</v>
      </c>
      <c r="S92" s="954"/>
      <c r="T92" s="955"/>
      <c r="U92" s="956"/>
      <c r="V92" s="956" t="s">
        <v>36</v>
      </c>
      <c r="W92" s="956"/>
      <c r="X92" s="957" t="s">
        <v>159</v>
      </c>
      <c r="Y92" s="958"/>
      <c r="Z92" s="959"/>
      <c r="AA92" s="960"/>
      <c r="AB92" s="960" t="s">
        <v>36</v>
      </c>
      <c r="AC92" s="960"/>
      <c r="AD92" s="961" t="s">
        <v>160</v>
      </c>
      <c r="AE92" s="962"/>
      <c r="AF92" s="963"/>
      <c r="AG92" s="964"/>
      <c r="AH92" s="965"/>
      <c r="AI92" s="966"/>
      <c r="AJ92" s="967"/>
      <c r="AK92" s="968"/>
      <c r="AL92" s="969"/>
      <c r="AM92" s="200">
        <f>IF(AJ92=R92,$S$86,IF(AJ92=X92,$Y$86,IF(AJ92=AD92,$AE$86,5)))</f>
        <v>5</v>
      </c>
      <c r="AN92" s="200"/>
      <c r="AO92" s="189"/>
      <c r="AP92" s="922">
        <v>15</v>
      </c>
      <c r="AQ92" s="923"/>
      <c r="AR92" s="924"/>
      <c r="AS92" s="899">
        <f t="shared" si="5"/>
        <v>75</v>
      </c>
      <c r="AU92" s="136"/>
    </row>
    <row r="93" spans="1:47" ht="91.5" customHeight="1">
      <c r="A93" s="970" t="s">
        <v>161</v>
      </c>
      <c r="B93" s="925"/>
      <c r="C93" s="926"/>
      <c r="D93" s="926"/>
      <c r="E93" s="926"/>
      <c r="F93" s="926"/>
      <c r="G93" s="926"/>
      <c r="H93" s="926"/>
      <c r="I93" s="926"/>
      <c r="J93" s="971" t="s">
        <v>162</v>
      </c>
      <c r="K93" s="972"/>
      <c r="L93" s="972"/>
      <c r="M93" s="972"/>
      <c r="N93" s="972"/>
      <c r="O93" s="972"/>
      <c r="P93" s="972"/>
      <c r="Q93" s="973"/>
      <c r="R93" s="953" t="s">
        <v>163</v>
      </c>
      <c r="S93" s="954"/>
      <c r="T93" s="955"/>
      <c r="U93" s="956"/>
      <c r="V93" s="956" t="s">
        <v>36</v>
      </c>
      <c r="W93" s="956"/>
      <c r="X93" s="974" t="s">
        <v>164</v>
      </c>
      <c r="Y93" s="975"/>
      <c r="Z93" s="976"/>
      <c r="AA93" s="960"/>
      <c r="AB93" s="960"/>
      <c r="AC93" s="960"/>
      <c r="AD93" s="977" t="s">
        <v>165</v>
      </c>
      <c r="AE93" s="978"/>
      <c r="AF93" s="979"/>
      <c r="AG93" s="980" t="str">
        <f t="shared" ref="AG93:AG96" si="7">$AG$87</f>
        <v>-</v>
      </c>
      <c r="AH93" s="981"/>
      <c r="AI93" s="982"/>
      <c r="AJ93" s="967"/>
      <c r="AK93" s="968"/>
      <c r="AL93" s="969"/>
      <c r="AM93" s="200">
        <f>IF(AJ93=R93,$S$86,IF(AJ93=X93,$Y$86,IF(AJ93=AD93,$AE$86,5)))</f>
        <v>5</v>
      </c>
      <c r="AN93" s="200"/>
      <c r="AO93" s="189"/>
      <c r="AP93" s="922">
        <v>15</v>
      </c>
      <c r="AQ93" s="923"/>
      <c r="AR93" s="924"/>
      <c r="AS93" s="899">
        <f>AP93*AM93</f>
        <v>75</v>
      </c>
      <c r="AU93" s="136"/>
    </row>
    <row r="94" spans="1:47" ht="92.25" customHeight="1">
      <c r="A94" s="970" t="s">
        <v>166</v>
      </c>
      <c r="B94" s="925"/>
      <c r="C94" s="926"/>
      <c r="D94" s="926"/>
      <c r="E94" s="926"/>
      <c r="F94" s="926"/>
      <c r="G94" s="926"/>
      <c r="H94" s="926"/>
      <c r="I94" s="926"/>
      <c r="J94" s="881" t="s">
        <v>167</v>
      </c>
      <c r="K94" s="882"/>
      <c r="L94" s="882"/>
      <c r="M94" s="882"/>
      <c r="N94" s="882"/>
      <c r="O94" s="882"/>
      <c r="P94" s="882"/>
      <c r="Q94" s="883"/>
      <c r="R94" s="953" t="s">
        <v>168</v>
      </c>
      <c r="S94" s="983"/>
      <c r="T94" s="984"/>
      <c r="U94" s="956"/>
      <c r="V94" s="956" t="s">
        <v>36</v>
      </c>
      <c r="W94" s="956"/>
      <c r="X94" s="957" t="s">
        <v>169</v>
      </c>
      <c r="Y94" s="985"/>
      <c r="Z94" s="986"/>
      <c r="AA94" s="960"/>
      <c r="AB94" s="960" t="s">
        <v>36</v>
      </c>
      <c r="AC94" s="960"/>
      <c r="AD94" s="961" t="s">
        <v>170</v>
      </c>
      <c r="AE94" s="987"/>
      <c r="AF94" s="988"/>
      <c r="AG94" s="989" t="str">
        <f t="shared" si="7"/>
        <v>-</v>
      </c>
      <c r="AH94" s="990"/>
      <c r="AI94" s="991"/>
      <c r="AJ94" s="967"/>
      <c r="AK94" s="968"/>
      <c r="AL94" s="969"/>
      <c r="AM94" s="200">
        <f>IF(AJ94=R94,$S$86,IF(AJ94=X94,$Y$86,IF(AJ94=AD94,$AE$86,5)))</f>
        <v>5</v>
      </c>
      <c r="AN94" s="200"/>
      <c r="AO94" s="189"/>
      <c r="AP94" s="922">
        <v>10</v>
      </c>
      <c r="AQ94" s="923"/>
      <c r="AR94" s="924"/>
      <c r="AS94" s="899">
        <f>AP94*AM94</f>
        <v>50</v>
      </c>
      <c r="AU94" s="136"/>
    </row>
    <row r="95" spans="1:47" ht="144" customHeight="1">
      <c r="A95" s="970" t="s">
        <v>171</v>
      </c>
      <c r="B95" s="925"/>
      <c r="C95" s="926"/>
      <c r="D95" s="926"/>
      <c r="E95" s="926"/>
      <c r="F95" s="926"/>
      <c r="G95" s="926"/>
      <c r="H95" s="926"/>
      <c r="I95" s="926"/>
      <c r="J95" s="971" t="s">
        <v>172</v>
      </c>
      <c r="K95" s="972"/>
      <c r="L95" s="972"/>
      <c r="M95" s="972"/>
      <c r="N95" s="972"/>
      <c r="O95" s="972"/>
      <c r="P95" s="972"/>
      <c r="Q95" s="973"/>
      <c r="R95" s="992" t="s">
        <v>173</v>
      </c>
      <c r="S95" s="993"/>
      <c r="T95" s="994"/>
      <c r="U95" s="956"/>
      <c r="V95" s="956" t="s">
        <v>36</v>
      </c>
      <c r="W95" s="956"/>
      <c r="X95" s="974" t="s">
        <v>174</v>
      </c>
      <c r="Y95" s="975"/>
      <c r="Z95" s="976"/>
      <c r="AA95" s="960"/>
      <c r="AB95" s="960" t="s">
        <v>36</v>
      </c>
      <c r="AC95" s="960"/>
      <c r="AD95" s="977" t="s">
        <v>175</v>
      </c>
      <c r="AE95" s="978"/>
      <c r="AF95" s="979"/>
      <c r="AG95" s="980" t="str">
        <f t="shared" si="7"/>
        <v>-</v>
      </c>
      <c r="AH95" s="981"/>
      <c r="AI95" s="982"/>
      <c r="AJ95" s="967"/>
      <c r="AK95" s="968"/>
      <c r="AL95" s="969"/>
      <c r="AM95" s="200">
        <f>IF(AJ95=R95,$S$86,IF(AJ95=X95,$Y$86,IF(AJ95=AD95,$AE$86,5)))</f>
        <v>5</v>
      </c>
      <c r="AN95" s="200"/>
      <c r="AO95" s="189"/>
      <c r="AP95" s="922">
        <v>5</v>
      </c>
      <c r="AQ95" s="923"/>
      <c r="AR95" s="924"/>
      <c r="AS95" s="899">
        <f t="shared" ref="AS95" si="8">AP95*AM95</f>
        <v>25</v>
      </c>
      <c r="AU95" s="136"/>
    </row>
    <row r="96" spans="1:47" ht="131.25" customHeight="1">
      <c r="A96" s="995" t="s">
        <v>176</v>
      </c>
      <c r="B96" s="996"/>
      <c r="C96" s="996"/>
      <c r="D96" s="996"/>
      <c r="E96" s="996"/>
      <c r="F96" s="996"/>
      <c r="G96" s="996"/>
      <c r="H96" s="996"/>
      <c r="I96" s="997"/>
      <c r="J96" s="971" t="s">
        <v>177</v>
      </c>
      <c r="K96" s="972"/>
      <c r="L96" s="972"/>
      <c r="M96" s="972"/>
      <c r="N96" s="972"/>
      <c r="O96" s="972"/>
      <c r="P96" s="972"/>
      <c r="Q96" s="973"/>
      <c r="R96" s="953" t="s">
        <v>178</v>
      </c>
      <c r="S96" s="983"/>
      <c r="T96" s="984"/>
      <c r="U96" s="956"/>
      <c r="V96" s="956" t="s">
        <v>36</v>
      </c>
      <c r="W96" s="956"/>
      <c r="X96" s="957" t="s">
        <v>179</v>
      </c>
      <c r="Y96" s="985"/>
      <c r="Z96" s="986"/>
      <c r="AA96" s="960"/>
      <c r="AB96" s="960" t="s">
        <v>36</v>
      </c>
      <c r="AC96" s="960"/>
      <c r="AD96" s="998" t="s">
        <v>180</v>
      </c>
      <c r="AE96" s="999"/>
      <c r="AF96" s="1000"/>
      <c r="AG96" s="981" t="str">
        <f t="shared" si="7"/>
        <v>-</v>
      </c>
      <c r="AH96" s="981"/>
      <c r="AI96" s="982"/>
      <c r="AJ96" s="1001"/>
      <c r="AK96" s="1002"/>
      <c r="AL96" s="1003"/>
      <c r="AM96" s="200">
        <f>IF(AJ96=R96,$S$86,IF(AJ96=X96,$Y$86,IF(AJ96=AD96,$AE$86,5)))</f>
        <v>5</v>
      </c>
      <c r="AN96" s="200"/>
      <c r="AO96" s="189"/>
      <c r="AP96" s="922">
        <v>5</v>
      </c>
      <c r="AQ96" s="923"/>
      <c r="AR96" s="924"/>
      <c r="AS96" s="899">
        <f>AP96*AM96</f>
        <v>25</v>
      </c>
      <c r="AU96" s="136"/>
    </row>
    <row r="97" spans="1:55" ht="39" thickBot="1">
      <c r="A97" s="811"/>
      <c r="B97" s="812"/>
      <c r="C97" s="812"/>
      <c r="D97" s="812"/>
      <c r="E97" s="812"/>
      <c r="F97" s="812"/>
      <c r="G97" s="812"/>
      <c r="H97" s="812"/>
      <c r="I97" s="812"/>
      <c r="J97" s="813"/>
      <c r="K97" s="814"/>
      <c r="L97" s="814"/>
      <c r="M97" s="814"/>
      <c r="N97" s="814"/>
      <c r="O97" s="814"/>
      <c r="P97" s="814"/>
      <c r="Q97" s="815"/>
      <c r="R97" s="816"/>
      <c r="S97" s="817"/>
      <c r="T97" s="818"/>
      <c r="U97" s="819"/>
      <c r="V97" s="819"/>
      <c r="W97" s="819"/>
      <c r="X97" s="816"/>
      <c r="Y97" s="817"/>
      <c r="Z97" s="818"/>
      <c r="AA97" s="819"/>
      <c r="AB97" s="819"/>
      <c r="AC97" s="819"/>
      <c r="AD97" s="816"/>
      <c r="AE97" s="817"/>
      <c r="AF97" s="818"/>
      <c r="AG97" s="820"/>
      <c r="AH97" s="821"/>
      <c r="AI97" s="822"/>
      <c r="AJ97" s="813"/>
      <c r="AK97" s="814"/>
      <c r="AL97" s="815"/>
      <c r="AM97" s="816"/>
      <c r="AN97" s="817"/>
      <c r="AO97" s="818"/>
      <c r="AP97" s="823"/>
      <c r="AQ97" s="824"/>
      <c r="AR97" s="825"/>
      <c r="AS97" s="1004"/>
      <c r="AU97" s="136"/>
    </row>
    <row r="98" spans="1:55" ht="54" thickBot="1">
      <c r="A98" s="827" t="s">
        <v>125</v>
      </c>
      <c r="B98" s="828"/>
      <c r="C98" s="828"/>
      <c r="D98" s="828"/>
      <c r="E98" s="828"/>
      <c r="F98" s="828"/>
      <c r="G98" s="828"/>
      <c r="H98" s="828"/>
      <c r="I98" s="828"/>
      <c r="J98" s="828"/>
      <c r="K98" s="828"/>
      <c r="L98" s="828"/>
      <c r="M98" s="828"/>
      <c r="N98" s="828"/>
      <c r="O98" s="828"/>
      <c r="P98" s="828"/>
      <c r="Q98" s="828"/>
      <c r="R98" s="828"/>
      <c r="S98" s="828"/>
      <c r="T98" s="828"/>
      <c r="U98" s="828"/>
      <c r="V98" s="828"/>
      <c r="W98" s="828"/>
      <c r="X98" s="828"/>
      <c r="Y98" s="828"/>
      <c r="Z98" s="828"/>
      <c r="AA98" s="828"/>
      <c r="AB98" s="828"/>
      <c r="AC98" s="828"/>
      <c r="AD98" s="828"/>
      <c r="AE98" s="828"/>
      <c r="AF98" s="828"/>
      <c r="AG98" s="828"/>
      <c r="AH98" s="828"/>
      <c r="AI98" s="828"/>
      <c r="AJ98" s="828"/>
      <c r="AK98" s="828"/>
      <c r="AL98" s="828"/>
      <c r="AM98" s="828"/>
      <c r="AN98" s="828"/>
      <c r="AO98" s="829"/>
      <c r="AP98" s="1006">
        <f>SUM(AP87:AR97)</f>
        <v>100</v>
      </c>
      <c r="AQ98" s="1007"/>
      <c r="AR98" s="1007"/>
      <c r="AS98" s="1008">
        <f>(SUM(AS87:AS96)/500)*100</f>
        <v>68</v>
      </c>
      <c r="AU98" s="136"/>
    </row>
    <row r="99" spans="1:55" s="6" customFormat="1">
      <c r="AU99" s="136"/>
      <c r="BC99" s="1005"/>
    </row>
    <row r="100" spans="1:55" s="6" customFormat="1">
      <c r="AU100" s="136"/>
      <c r="BC100" s="1005"/>
    </row>
    <row r="101" spans="1:55" s="6" customFormat="1">
      <c r="AU101" s="136"/>
      <c r="BC101" s="1005"/>
    </row>
    <row r="102" spans="1:55" s="6" customFormat="1">
      <c r="AU102" s="136"/>
      <c r="BC102" s="1005"/>
    </row>
    <row r="103" spans="1:55" s="6" customFormat="1">
      <c r="AU103" s="136"/>
      <c r="BC103" s="1005"/>
    </row>
    <row r="104" spans="1:55" s="6" customFormat="1">
      <c r="AU104" s="136"/>
      <c r="BC104" s="1005"/>
    </row>
    <row r="105" spans="1:55" s="6" customFormat="1">
      <c r="AU105" s="136"/>
      <c r="BC105" s="1005"/>
    </row>
    <row r="106" spans="1:55" s="6" customFormat="1">
      <c r="AU106" s="136"/>
      <c r="BC106" s="1005"/>
    </row>
    <row r="107" spans="1:55" s="6" customFormat="1">
      <c r="AU107" s="136"/>
      <c r="BC107" s="1005"/>
    </row>
    <row r="108" spans="1:55" s="6" customFormat="1">
      <c r="AU108" s="136"/>
      <c r="BC108" s="1005"/>
    </row>
    <row r="109" spans="1:55" s="6" customFormat="1">
      <c r="AU109" s="136"/>
      <c r="BC109" s="1005"/>
    </row>
    <row r="110" spans="1:55" s="6" customFormat="1">
      <c r="AU110" s="136"/>
      <c r="BC110" s="1005"/>
    </row>
    <row r="111" spans="1:55" s="6" customFormat="1">
      <c r="AU111" s="136"/>
      <c r="BC111" s="1005"/>
    </row>
    <row r="112" spans="1:55" s="6" customFormat="1">
      <c r="AU112" s="136"/>
      <c r="BC112" s="1005"/>
    </row>
    <row r="113" spans="47:55" s="6" customFormat="1">
      <c r="AU113" s="136"/>
      <c r="BC113" s="1005"/>
    </row>
    <row r="114" spans="47:55" s="6" customFormat="1">
      <c r="AU114" s="136"/>
      <c r="BC114" s="1005"/>
    </row>
    <row r="115" spans="47:55" s="6" customFormat="1">
      <c r="AU115" s="136"/>
      <c r="BC115" s="1005"/>
    </row>
    <row r="116" spans="47:55" s="6" customFormat="1">
      <c r="AU116" s="136"/>
      <c r="BC116" s="1005"/>
    </row>
    <row r="117" spans="47:55" s="6" customFormat="1">
      <c r="AU117" s="136"/>
      <c r="BC117" s="1005"/>
    </row>
    <row r="118" spans="47:55" s="6" customFormat="1">
      <c r="AU118" s="136"/>
      <c r="BC118" s="1005"/>
    </row>
    <row r="119" spans="47:55" s="6" customFormat="1">
      <c r="AU119" s="136"/>
      <c r="BC119" s="1005"/>
    </row>
    <row r="120" spans="47:55" s="6" customFormat="1">
      <c r="AU120" s="7"/>
      <c r="BC120" s="1005"/>
    </row>
    <row r="121" spans="47:55" s="6" customFormat="1">
      <c r="AU121" s="7"/>
      <c r="BC121" s="1005"/>
    </row>
    <row r="122" spans="47:55" s="6" customFormat="1">
      <c r="AU122" s="7"/>
      <c r="BC122" s="1005"/>
    </row>
    <row r="123" spans="47:55" s="6" customFormat="1">
      <c r="AU123" s="7"/>
      <c r="BC123" s="1005"/>
    </row>
    <row r="124" spans="47:55" s="6" customFormat="1">
      <c r="AU124" s="7"/>
      <c r="BC124" s="1005"/>
    </row>
    <row r="125" spans="47:55" s="6" customFormat="1">
      <c r="AU125" s="7"/>
      <c r="BC125" s="1005"/>
    </row>
    <row r="126" spans="47:55" s="6" customFormat="1">
      <c r="AU126" s="7"/>
      <c r="BC126" s="1005"/>
    </row>
    <row r="127" spans="47:55" s="6" customFormat="1">
      <c r="AU127" s="7"/>
      <c r="BC127" s="1005"/>
    </row>
    <row r="128" spans="47:55" s="6" customFormat="1">
      <c r="AU128" s="7"/>
      <c r="BC128" s="1005"/>
    </row>
    <row r="129" spans="47:55" s="6" customFormat="1">
      <c r="AU129" s="7"/>
      <c r="BC129" s="1005"/>
    </row>
    <row r="130" spans="47:55" s="6" customFormat="1">
      <c r="AU130" s="7"/>
      <c r="BC130" s="1005"/>
    </row>
    <row r="131" spans="47:55" s="6" customFormat="1">
      <c r="AU131" s="7"/>
      <c r="BC131" s="1005"/>
    </row>
    <row r="132" spans="47:55" s="6" customFormat="1">
      <c r="AU132" s="7"/>
      <c r="BC132" s="1005"/>
    </row>
    <row r="133" spans="47:55" s="6" customFormat="1">
      <c r="AU133" s="7"/>
      <c r="BC133" s="1005"/>
    </row>
    <row r="134" spans="47:55" s="6" customFormat="1">
      <c r="AU134" s="7"/>
      <c r="BC134" s="1005"/>
    </row>
    <row r="135" spans="47:55" s="6" customFormat="1">
      <c r="AU135" s="7"/>
      <c r="BC135" s="1005"/>
    </row>
    <row r="136" spans="47:55" s="6" customFormat="1">
      <c r="AU136" s="7"/>
      <c r="BC136" s="1005"/>
    </row>
    <row r="137" spans="47:55" s="6" customFormat="1">
      <c r="AU137" s="7"/>
      <c r="BC137" s="1005"/>
    </row>
    <row r="138" spans="47:55" s="6" customFormat="1">
      <c r="AU138" s="7"/>
      <c r="BC138" s="1005"/>
    </row>
    <row r="139" spans="47:55" s="6" customFormat="1">
      <c r="AU139" s="7"/>
      <c r="BC139" s="1005"/>
    </row>
    <row r="140" spans="47:55" s="6" customFormat="1">
      <c r="AU140" s="7"/>
      <c r="BC140" s="1005"/>
    </row>
    <row r="141" spans="47:55" s="6" customFormat="1">
      <c r="AU141" s="7"/>
      <c r="BC141" s="1005"/>
    </row>
    <row r="142" spans="47:55" s="6" customFormat="1">
      <c r="AU142" s="7"/>
      <c r="BC142" s="1005"/>
    </row>
    <row r="143" spans="47:55" s="6" customFormat="1">
      <c r="AU143" s="7"/>
      <c r="BC143" s="1005"/>
    </row>
    <row r="144" spans="47:55" s="6" customFormat="1">
      <c r="AU144" s="7"/>
      <c r="BC144" s="1005"/>
    </row>
    <row r="145" spans="47:55" s="6" customFormat="1">
      <c r="AU145" s="7"/>
      <c r="BC145" s="1005"/>
    </row>
    <row r="146" spans="47:55" s="6" customFormat="1">
      <c r="AU146" s="7"/>
      <c r="BC146" s="1005"/>
    </row>
    <row r="147" spans="47:55" s="6" customFormat="1">
      <c r="AU147" s="7"/>
      <c r="BC147" s="1005"/>
    </row>
    <row r="148" spans="47:55" s="6" customFormat="1">
      <c r="AU148" s="7"/>
      <c r="BC148" s="1005"/>
    </row>
    <row r="149" spans="47:55" s="6" customFormat="1">
      <c r="AU149" s="7"/>
      <c r="BC149" s="1005"/>
    </row>
    <row r="150" spans="47:55" s="6" customFormat="1">
      <c r="AU150" s="7"/>
      <c r="BC150" s="1005"/>
    </row>
    <row r="151" spans="47:55" s="6" customFormat="1">
      <c r="AU151" s="7"/>
      <c r="BC151" s="1005"/>
    </row>
    <row r="152" spans="47:55" s="6" customFormat="1">
      <c r="AU152" s="7"/>
      <c r="BC152" s="1005"/>
    </row>
  </sheetData>
  <mergeCells count="439">
    <mergeCell ref="A98:AO98"/>
    <mergeCell ref="AP98:AR98"/>
    <mergeCell ref="AP96:AR96"/>
    <mergeCell ref="J97:Q97"/>
    <mergeCell ref="R97:T97"/>
    <mergeCell ref="X97:Z97"/>
    <mergeCell ref="AD97:AF97"/>
    <mergeCell ref="AJ97:AL97"/>
    <mergeCell ref="AM97:AO97"/>
    <mergeCell ref="AP97:AR97"/>
    <mergeCell ref="AM95:AO95"/>
    <mergeCell ref="AP95:AR95"/>
    <mergeCell ref="A96:I96"/>
    <mergeCell ref="J96:Q96"/>
    <mergeCell ref="R96:T96"/>
    <mergeCell ref="X96:Z96"/>
    <mergeCell ref="AD96:AF96"/>
    <mergeCell ref="AG96:AI96"/>
    <mergeCell ref="AJ96:AL96"/>
    <mergeCell ref="AM96:AO96"/>
    <mergeCell ref="J95:Q95"/>
    <mergeCell ref="R95:T95"/>
    <mergeCell ref="X95:Z95"/>
    <mergeCell ref="AD95:AF95"/>
    <mergeCell ref="AG95:AI95"/>
    <mergeCell ref="AJ95:AL95"/>
    <mergeCell ref="AM93:AO93"/>
    <mergeCell ref="AP93:AR93"/>
    <mergeCell ref="R94:T94"/>
    <mergeCell ref="X94:Z94"/>
    <mergeCell ref="AD94:AF94"/>
    <mergeCell ref="AG94:AI94"/>
    <mergeCell ref="AJ94:AL94"/>
    <mergeCell ref="AM94:AO94"/>
    <mergeCell ref="AP94:AR94"/>
    <mergeCell ref="J93:Q93"/>
    <mergeCell ref="R93:T93"/>
    <mergeCell ref="X93:Z93"/>
    <mergeCell ref="AD93:AF93"/>
    <mergeCell ref="AG93:AI93"/>
    <mergeCell ref="AJ93:AL93"/>
    <mergeCell ref="AM91:AO91"/>
    <mergeCell ref="AP91:AR91"/>
    <mergeCell ref="R92:T92"/>
    <mergeCell ref="X92:Z92"/>
    <mergeCell ref="AD92:AF92"/>
    <mergeCell ref="AJ92:AL92"/>
    <mergeCell ref="AM92:AO92"/>
    <mergeCell ref="AP92:AR92"/>
    <mergeCell ref="AP89:AR89"/>
    <mergeCell ref="R90:T90"/>
    <mergeCell ref="X90:Z90"/>
    <mergeCell ref="AD90:AF90"/>
    <mergeCell ref="AG90:AI90"/>
    <mergeCell ref="AJ90:AL90"/>
    <mergeCell ref="AM90:AO90"/>
    <mergeCell ref="AP90:AR90"/>
    <mergeCell ref="J89:Q89"/>
    <mergeCell ref="R89:T89"/>
    <mergeCell ref="AD89:AF89"/>
    <mergeCell ref="AG89:AI89"/>
    <mergeCell ref="AJ89:AL89"/>
    <mergeCell ref="AM89:AO89"/>
    <mergeCell ref="AM85:AO86"/>
    <mergeCell ref="AP85:AR86"/>
    <mergeCell ref="AG87:AI87"/>
    <mergeCell ref="AM87:AO87"/>
    <mergeCell ref="AP87:AR87"/>
    <mergeCell ref="AG88:AI88"/>
    <mergeCell ref="AM88:AO88"/>
    <mergeCell ref="AP88:AR88"/>
    <mergeCell ref="AM80:AO80"/>
    <mergeCell ref="AP80:AR80"/>
    <mergeCell ref="A81:AO81"/>
    <mergeCell ref="AP81:AR81"/>
    <mergeCell ref="A82:AR82"/>
    <mergeCell ref="A85:I86"/>
    <mergeCell ref="J85:Q86"/>
    <mergeCell ref="R85:AF85"/>
    <mergeCell ref="AG85:AI86"/>
    <mergeCell ref="AJ85:AL86"/>
    <mergeCell ref="AP78:AR78"/>
    <mergeCell ref="J79:Q79"/>
    <mergeCell ref="AJ79:AL79"/>
    <mergeCell ref="AM79:AO79"/>
    <mergeCell ref="AP79:AR79"/>
    <mergeCell ref="J80:Q80"/>
    <mergeCell ref="R80:T80"/>
    <mergeCell ref="X80:Z80"/>
    <mergeCell ref="AD80:AF80"/>
    <mergeCell ref="AJ80:AL80"/>
    <mergeCell ref="J78:Q78"/>
    <mergeCell ref="R78:T78"/>
    <mergeCell ref="X78:Z78"/>
    <mergeCell ref="AD78:AF78"/>
    <mergeCell ref="AJ78:AL78"/>
    <mergeCell ref="AM78:AO78"/>
    <mergeCell ref="J76:Q76"/>
    <mergeCell ref="AJ76:AL76"/>
    <mergeCell ref="AM76:AO76"/>
    <mergeCell ref="AP76:AR76"/>
    <mergeCell ref="J77:Q77"/>
    <mergeCell ref="AJ77:AL77"/>
    <mergeCell ref="AM77:AO77"/>
    <mergeCell ref="AP77:AR77"/>
    <mergeCell ref="A72:AO72"/>
    <mergeCell ref="AP72:AR72"/>
    <mergeCell ref="A74:I75"/>
    <mergeCell ref="J74:Q75"/>
    <mergeCell ref="R74:AF74"/>
    <mergeCell ref="AG74:AI75"/>
    <mergeCell ref="AJ74:AL75"/>
    <mergeCell ref="AM74:AO75"/>
    <mergeCell ref="AP74:AR75"/>
    <mergeCell ref="AM70:AO70"/>
    <mergeCell ref="A71:I71"/>
    <mergeCell ref="R71:T71"/>
    <mergeCell ref="X71:Z71"/>
    <mergeCell ref="AD71:AF71"/>
    <mergeCell ref="AG71:AI71"/>
    <mergeCell ref="AJ71:AL71"/>
    <mergeCell ref="AM71:AO71"/>
    <mergeCell ref="J70:Q70"/>
    <mergeCell ref="R70:T70"/>
    <mergeCell ref="X70:Z70"/>
    <mergeCell ref="AD70:AF70"/>
    <mergeCell ref="AG70:AI70"/>
    <mergeCell ref="AJ70:AL70"/>
    <mergeCell ref="AP68:AR71"/>
    <mergeCell ref="AS68:AS71"/>
    <mergeCell ref="A69:I69"/>
    <mergeCell ref="R69:T69"/>
    <mergeCell ref="X69:Z69"/>
    <mergeCell ref="AD69:AF69"/>
    <mergeCell ref="AG69:AI69"/>
    <mergeCell ref="AJ69:AL69"/>
    <mergeCell ref="AM69:AO69"/>
    <mergeCell ref="A70:I70"/>
    <mergeCell ref="R68:T68"/>
    <mergeCell ref="X68:Z68"/>
    <mergeCell ref="AD68:AF68"/>
    <mergeCell ref="AG68:AI68"/>
    <mergeCell ref="AJ68:AL68"/>
    <mergeCell ref="AM68:AO68"/>
    <mergeCell ref="A66:I66"/>
    <mergeCell ref="J66:O66"/>
    <mergeCell ref="P66:Q66"/>
    <mergeCell ref="AJ66:AL66"/>
    <mergeCell ref="A67:I67"/>
    <mergeCell ref="J67:O67"/>
    <mergeCell ref="P67:Q67"/>
    <mergeCell ref="X67:Z67"/>
    <mergeCell ref="AJ67:AL67"/>
    <mergeCell ref="A64:I64"/>
    <mergeCell ref="J64:O64"/>
    <mergeCell ref="P64:Q64"/>
    <mergeCell ref="AG64:AI64"/>
    <mergeCell ref="AM64:AO64"/>
    <mergeCell ref="A65:I65"/>
    <mergeCell ref="J65:Q65"/>
    <mergeCell ref="AJ65:AL65"/>
    <mergeCell ref="AM61:AO61"/>
    <mergeCell ref="AP61:AR64"/>
    <mergeCell ref="AS61:AS64"/>
    <mergeCell ref="A62:I62"/>
    <mergeCell ref="AM62:AO62"/>
    <mergeCell ref="A63:I63"/>
    <mergeCell ref="J63:O63"/>
    <mergeCell ref="P63:Q63"/>
    <mergeCell ref="AG63:AI63"/>
    <mergeCell ref="AM63:AO63"/>
    <mergeCell ref="A60:I60"/>
    <mergeCell ref="J60:O60"/>
    <mergeCell ref="P60:Q60"/>
    <mergeCell ref="AG60:AI60"/>
    <mergeCell ref="A61:I61"/>
    <mergeCell ref="AG61:AI62"/>
    <mergeCell ref="AP57:AR59"/>
    <mergeCell ref="AS57:AS59"/>
    <mergeCell ref="A58:I58"/>
    <mergeCell ref="J58:O58"/>
    <mergeCell ref="P58:Q58"/>
    <mergeCell ref="AM58:AO58"/>
    <mergeCell ref="A59:I59"/>
    <mergeCell ref="J59:O59"/>
    <mergeCell ref="P59:Q59"/>
    <mergeCell ref="AM59:AO59"/>
    <mergeCell ref="AJ55:AL55"/>
    <mergeCell ref="AM55:AO55"/>
    <mergeCell ref="A56:I56"/>
    <mergeCell ref="J56:Q56"/>
    <mergeCell ref="A57:I57"/>
    <mergeCell ref="J57:O57"/>
    <mergeCell ref="P57:Q57"/>
    <mergeCell ref="AG57:AI59"/>
    <mergeCell ref="AM57:AO57"/>
    <mergeCell ref="AM53:AO53"/>
    <mergeCell ref="AP53:AR55"/>
    <mergeCell ref="AS53:AS55"/>
    <mergeCell ref="A54:I54"/>
    <mergeCell ref="J54:O54"/>
    <mergeCell ref="P54:Q54"/>
    <mergeCell ref="AM54:AO54"/>
    <mergeCell ref="A55:I55"/>
    <mergeCell ref="P55:Q55"/>
    <mergeCell ref="R55:T55"/>
    <mergeCell ref="A52:I52"/>
    <mergeCell ref="J52:Q52"/>
    <mergeCell ref="AG52:AI52"/>
    <mergeCell ref="AJ52:AL52"/>
    <mergeCell ref="A53:I53"/>
    <mergeCell ref="J53:O53"/>
    <mergeCell ref="P53:Q53"/>
    <mergeCell ref="AG53:AI55"/>
    <mergeCell ref="X55:Z55"/>
    <mergeCell ref="AD55:AF55"/>
    <mergeCell ref="A50:I50"/>
    <mergeCell ref="J50:O50"/>
    <mergeCell ref="P50:Q50"/>
    <mergeCell ref="AJ50:AL50"/>
    <mergeCell ref="AM50:AO50"/>
    <mergeCell ref="A51:I51"/>
    <mergeCell ref="J51:O51"/>
    <mergeCell ref="P51:Q51"/>
    <mergeCell ref="AJ51:AL51"/>
    <mergeCell ref="AM51:AO51"/>
    <mergeCell ref="A48:I48"/>
    <mergeCell ref="J48:O48"/>
    <mergeCell ref="P48:Q48"/>
    <mergeCell ref="AJ48:AL48"/>
    <mergeCell ref="AM48:AO48"/>
    <mergeCell ref="A49:I49"/>
    <mergeCell ref="J49:O49"/>
    <mergeCell ref="P49:Q49"/>
    <mergeCell ref="AM49:AO49"/>
    <mergeCell ref="A46:I46"/>
    <mergeCell ref="J46:O46"/>
    <mergeCell ref="P46:Q46"/>
    <mergeCell ref="AJ46:AL46"/>
    <mergeCell ref="AM46:AO46"/>
    <mergeCell ref="A47:I47"/>
    <mergeCell ref="J47:O47"/>
    <mergeCell ref="P47:Q47"/>
    <mergeCell ref="AM47:AO47"/>
    <mergeCell ref="A44:I44"/>
    <mergeCell ref="J44:O44"/>
    <mergeCell ref="P44:Q44"/>
    <mergeCell ref="AJ44:AL44"/>
    <mergeCell ref="AM44:AO44"/>
    <mergeCell ref="A45:I45"/>
    <mergeCell ref="J45:O45"/>
    <mergeCell ref="P45:Q45"/>
    <mergeCell ref="AJ45:AL45"/>
    <mergeCell ref="AM45:AO45"/>
    <mergeCell ref="AM41:AO41"/>
    <mergeCell ref="A42:I42"/>
    <mergeCell ref="J42:O42"/>
    <mergeCell ref="AJ42:AL42"/>
    <mergeCell ref="AM42:AO42"/>
    <mergeCell ref="A43:I43"/>
    <mergeCell ref="J43:O43"/>
    <mergeCell ref="AJ43:AL43"/>
    <mergeCell ref="AM43:AO43"/>
    <mergeCell ref="AJ39:AL39"/>
    <mergeCell ref="AM39:AO39"/>
    <mergeCell ref="A40:I40"/>
    <mergeCell ref="J40:O40"/>
    <mergeCell ref="P40:Q43"/>
    <mergeCell ref="AJ40:AL40"/>
    <mergeCell ref="AM40:AO40"/>
    <mergeCell ref="A41:I41"/>
    <mergeCell ref="J41:O41"/>
    <mergeCell ref="AJ41:AL41"/>
    <mergeCell ref="AS36:AS51"/>
    <mergeCell ref="A37:I37"/>
    <mergeCell ref="J37:O38"/>
    <mergeCell ref="AJ37:AL37"/>
    <mergeCell ref="AM37:AO37"/>
    <mergeCell ref="A38:I38"/>
    <mergeCell ref="AJ38:AL38"/>
    <mergeCell ref="AM38:AO38"/>
    <mergeCell ref="A39:I39"/>
    <mergeCell ref="J39:O39"/>
    <mergeCell ref="AJ35:AL35"/>
    <mergeCell ref="AM35:AO35"/>
    <mergeCell ref="AP35:AR35"/>
    <mergeCell ref="A36:I36"/>
    <mergeCell ref="J36:O36"/>
    <mergeCell ref="P36:Q38"/>
    <mergeCell ref="AJ36:AL36"/>
    <mergeCell ref="AM36:AO36"/>
    <mergeCell ref="AP36:AR51"/>
    <mergeCell ref="P39:Q39"/>
    <mergeCell ref="A34:I34"/>
    <mergeCell ref="J34:Q34"/>
    <mergeCell ref="AG34:AI34"/>
    <mergeCell ref="AJ34:AL34"/>
    <mergeCell ref="A35:I35"/>
    <mergeCell ref="P35:Q35"/>
    <mergeCell ref="R35:T35"/>
    <mergeCell ref="X35:Z35"/>
    <mergeCell ref="AD35:AF35"/>
    <mergeCell ref="AG35:AI51"/>
    <mergeCell ref="A33:I33"/>
    <mergeCell ref="J33:O33"/>
    <mergeCell ref="P33:Q33"/>
    <mergeCell ref="AG33:AI33"/>
    <mergeCell ref="AJ33:AL33"/>
    <mergeCell ref="AM33:AO33"/>
    <mergeCell ref="A31:I32"/>
    <mergeCell ref="J31:O31"/>
    <mergeCell ref="P31:Q32"/>
    <mergeCell ref="AG31:AI32"/>
    <mergeCell ref="AJ31:AL31"/>
    <mergeCell ref="AM31:AO31"/>
    <mergeCell ref="J32:O32"/>
    <mergeCell ref="AJ32:AL32"/>
    <mergeCell ref="AM32:AO32"/>
    <mergeCell ref="A29:I30"/>
    <mergeCell ref="J29:O29"/>
    <mergeCell ref="P29:Q30"/>
    <mergeCell ref="AG29:AI30"/>
    <mergeCell ref="AJ29:AL29"/>
    <mergeCell ref="AM29:AO29"/>
    <mergeCell ref="J30:O30"/>
    <mergeCell ref="AJ30:AL30"/>
    <mergeCell ref="AM30:AO30"/>
    <mergeCell ref="J27:O27"/>
    <mergeCell ref="P27:Q27"/>
    <mergeCell ref="AJ27:AL27"/>
    <mergeCell ref="AM27:AO27"/>
    <mergeCell ref="A28:I28"/>
    <mergeCell ref="J28:Q28"/>
    <mergeCell ref="AJ28:AL28"/>
    <mergeCell ref="A25:I26"/>
    <mergeCell ref="J25:O25"/>
    <mergeCell ref="P25:Q26"/>
    <mergeCell ref="AG25:AI27"/>
    <mergeCell ref="AJ25:AL25"/>
    <mergeCell ref="AM25:AO25"/>
    <mergeCell ref="J26:O26"/>
    <mergeCell ref="AJ26:AL26"/>
    <mergeCell ref="AM26:AO26"/>
    <mergeCell ref="A27:I27"/>
    <mergeCell ref="A23:I24"/>
    <mergeCell ref="J23:O23"/>
    <mergeCell ref="P23:Q24"/>
    <mergeCell ref="AG23:AI24"/>
    <mergeCell ref="AJ23:AL23"/>
    <mergeCell ref="AM23:AO23"/>
    <mergeCell ref="J24:O24"/>
    <mergeCell ref="AJ24:AL24"/>
    <mergeCell ref="AM24:AO24"/>
    <mergeCell ref="J21:O21"/>
    <mergeCell ref="P21:Q21"/>
    <mergeCell ref="AJ21:AL21"/>
    <mergeCell ref="AM21:AO21"/>
    <mergeCell ref="A22:I22"/>
    <mergeCell ref="J22:Q22"/>
    <mergeCell ref="AJ22:AL22"/>
    <mergeCell ref="A19:I20"/>
    <mergeCell ref="J19:O19"/>
    <mergeCell ref="P19:Q20"/>
    <mergeCell ref="AG19:AI21"/>
    <mergeCell ref="AJ19:AL19"/>
    <mergeCell ref="AM19:AO19"/>
    <mergeCell ref="J20:O20"/>
    <mergeCell ref="AJ20:AL20"/>
    <mergeCell ref="AM20:AO20"/>
    <mergeCell ref="A21:I21"/>
    <mergeCell ref="AM16:AO16"/>
    <mergeCell ref="A17:I18"/>
    <mergeCell ref="J17:O17"/>
    <mergeCell ref="P17:Q18"/>
    <mergeCell ref="AG17:AI18"/>
    <mergeCell ref="AJ17:AL17"/>
    <mergeCell ref="AM17:AO17"/>
    <mergeCell ref="J18:O18"/>
    <mergeCell ref="AJ18:AL18"/>
    <mergeCell ref="AM18:AO18"/>
    <mergeCell ref="J15:O15"/>
    <mergeCell ref="P15:Q15"/>
    <mergeCell ref="AG15:AI15"/>
    <mergeCell ref="AJ15:AL15"/>
    <mergeCell ref="AM15:AO15"/>
    <mergeCell ref="A16:I16"/>
    <mergeCell ref="J16:O16"/>
    <mergeCell ref="P16:Q16"/>
    <mergeCell ref="AG16:AI16"/>
    <mergeCell ref="AJ16:AL16"/>
    <mergeCell ref="AM13:AO13"/>
    <mergeCell ref="AP13:AR33"/>
    <mergeCell ref="AS13:AS33"/>
    <mergeCell ref="A14:I14"/>
    <mergeCell ref="J14:O14"/>
    <mergeCell ref="P14:Q14"/>
    <mergeCell ref="AG14:AI14"/>
    <mergeCell ref="AJ14:AL14"/>
    <mergeCell ref="AM14:AO14"/>
    <mergeCell ref="A15:I15"/>
    <mergeCell ref="A12:I12"/>
    <mergeCell ref="J12:Q12"/>
    <mergeCell ref="AJ12:AL12"/>
    <mergeCell ref="A13:I13"/>
    <mergeCell ref="J13:O13"/>
    <mergeCell ref="P13:Q13"/>
    <mergeCell ref="R13:T13"/>
    <mergeCell ref="AD13:AF13"/>
    <mergeCell ref="AG13:AI13"/>
    <mergeCell ref="AJ13:AL13"/>
    <mergeCell ref="AM9:AO9"/>
    <mergeCell ref="AP9:AR11"/>
    <mergeCell ref="AS9:AS11"/>
    <mergeCell ref="A10:I10"/>
    <mergeCell ref="AJ10:AL10"/>
    <mergeCell ref="AM10:AO10"/>
    <mergeCell ref="A11:I11"/>
    <mergeCell ref="AJ11:AL11"/>
    <mergeCell ref="AM11:AO11"/>
    <mergeCell ref="AM6:AO6"/>
    <mergeCell ref="AP6:AR7"/>
    <mergeCell ref="A8:I8"/>
    <mergeCell ref="J8:Q8"/>
    <mergeCell ref="AJ8:AL8"/>
    <mergeCell ref="A9:I9"/>
    <mergeCell ref="J9:O11"/>
    <mergeCell ref="P9:Q11"/>
    <mergeCell ref="AG9:AI11"/>
    <mergeCell ref="AJ9:AL9"/>
    <mergeCell ref="A1:AD1"/>
    <mergeCell ref="AN1:AS5"/>
    <mergeCell ref="C4:G4"/>
    <mergeCell ref="AK4:AL4"/>
    <mergeCell ref="A6:I7"/>
    <mergeCell ref="J6:O7"/>
    <mergeCell ref="P6:Q7"/>
    <mergeCell ref="R6:AF6"/>
    <mergeCell ref="AG6:AI6"/>
    <mergeCell ref="AJ6:AL6"/>
  </mergeCells>
  <conditionalFormatting sqref="AM77:AO77">
    <cfRule type="iconSet" priority="33">
      <iconSet iconSet="3Flags" reverse="1">
        <cfvo type="percent" val="0"/>
        <cfvo type="num" val="$Y$75"/>
        <cfvo type="num" val="$AE$75"/>
      </iconSet>
    </cfRule>
  </conditionalFormatting>
  <conditionalFormatting sqref="AM78:AO78">
    <cfRule type="iconSet" priority="32">
      <iconSet iconSet="3Flags" reverse="1">
        <cfvo type="percent" val="0"/>
        <cfvo type="num" val="$Y$75"/>
        <cfvo type="num" val="$AE$75"/>
      </iconSet>
    </cfRule>
  </conditionalFormatting>
  <conditionalFormatting sqref="AM89:AO89">
    <cfRule type="iconSet" priority="9">
      <iconSet iconSet="3Flags" reverse="1">
        <cfvo type="percent" val="0"/>
        <cfvo type="num" val="$Y$75"/>
        <cfvo type="num" val="$AE$75"/>
      </iconSet>
    </cfRule>
  </conditionalFormatting>
  <conditionalFormatting sqref="AM90:AO90">
    <cfRule type="iconSet" priority="8">
      <iconSet iconSet="3Flags" reverse="1">
        <cfvo type="percent" val="0"/>
        <cfvo type="num" val="$Y$75"/>
        <cfvo type="num" val="$AE$75"/>
      </iconSet>
    </cfRule>
  </conditionalFormatting>
  <conditionalFormatting sqref="AM79:AO79">
    <cfRule type="iconSet" priority="36">
      <iconSet iconSet="3Flags" reverse="1">
        <cfvo type="percent" val="0"/>
        <cfvo type="num" val="$Y$75"/>
        <cfvo type="num" val="$AE$75"/>
      </iconSet>
    </cfRule>
  </conditionalFormatting>
  <conditionalFormatting sqref="AM87:AO88">
    <cfRule type="iconSet" priority="7">
      <iconSet iconSet="3Flags" reverse="1">
        <cfvo type="percent" val="0"/>
        <cfvo type="num" val="$Y$75"/>
        <cfvo type="num" val="$AE$75"/>
      </iconSet>
    </cfRule>
  </conditionalFormatting>
  <conditionalFormatting sqref="AM92:AO93">
    <cfRule type="iconSet" priority="6">
      <iconSet iconSet="3Flags" reverse="1">
        <cfvo type="percent" val="0"/>
        <cfvo type="num" val="$Y$75"/>
        <cfvo type="num" val="$AE$75"/>
      </iconSet>
    </cfRule>
  </conditionalFormatting>
  <conditionalFormatting sqref="AM94:AO94">
    <cfRule type="iconSet" priority="5">
      <iconSet iconSet="3Flags" reverse="1">
        <cfvo type="percent" val="0"/>
        <cfvo type="num" val="$Y$75"/>
        <cfvo type="num" val="$AE$75"/>
      </iconSet>
    </cfRule>
  </conditionalFormatting>
  <conditionalFormatting sqref="AM95:AO95">
    <cfRule type="iconSet" priority="4">
      <iconSet iconSet="3Flags" reverse="1">
        <cfvo type="percent" val="0"/>
        <cfvo type="num" val="$Y$75"/>
        <cfvo type="num" val="$AE$75"/>
      </iconSet>
    </cfRule>
  </conditionalFormatting>
  <conditionalFormatting sqref="AM76:AO76">
    <cfRule type="iconSet" priority="2">
      <iconSet iconSet="3Flags" reverse="1">
        <cfvo type="percent" val="0"/>
        <cfvo type="num" val="$Y$75"/>
        <cfvo type="num" val="$AE$75"/>
      </iconSet>
    </cfRule>
  </conditionalFormatting>
  <conditionalFormatting sqref="AM91:AO91">
    <cfRule type="iconSet" priority="37">
      <iconSet iconSet="3Flags" reverse="1">
        <cfvo type="percent" val="0"/>
        <cfvo type="num" val="$Y$75"/>
        <cfvo type="num" val="$AE$75"/>
      </iconSet>
    </cfRule>
  </conditionalFormatting>
  <conditionalFormatting sqref="AM96:AO96">
    <cfRule type="iconSet" priority="38">
      <iconSet iconSet="3Flags" reverse="1">
        <cfvo type="percent" val="0"/>
        <cfvo type="num" val="$Y$75"/>
        <cfvo type="num" val="$AE$75"/>
      </iconSet>
    </cfRule>
  </conditionalFormatting>
  <dataValidations count="9">
    <dataValidation type="list" allowBlank="1" showInputMessage="1" showErrorMessage="1" sqref="AJ93:AL93" xr:uid="{A529DAF1-4408-4ECB-BA76-90A081295DCB}">
      <formula1>$R$93:$AF$93</formula1>
    </dataValidation>
    <dataValidation type="list" allowBlank="1" showInputMessage="1" showErrorMessage="1" sqref="AJ89:AL89" xr:uid="{3C722FD1-E8D6-4931-9B4D-B13DE713E8A9}">
      <formula1>"Yes,No"</formula1>
    </dataValidation>
    <dataValidation type="list" allowBlank="1" showInputMessage="1" showErrorMessage="1" sqref="AJ96:AL96" xr:uid="{AF73E435-2768-462B-B3C1-DFC80E93EAC1}">
      <formula1>$R$96:$AF$96</formula1>
    </dataValidation>
    <dataValidation type="list" allowBlank="1" showInputMessage="1" showErrorMessage="1" sqref="AJ95:AL95" xr:uid="{A84CBD8A-7AE8-4EBE-9B0D-CF8B4640F114}">
      <formula1>$R$95:$AF$95</formula1>
    </dataValidation>
    <dataValidation type="list" allowBlank="1" showInputMessage="1" showErrorMessage="1" sqref="AJ94:AL94" xr:uid="{5727D43B-2B4C-439C-86FD-F791046A0C82}">
      <formula1>$R$94:$AF$94</formula1>
    </dataValidation>
    <dataValidation type="list" allowBlank="1" showInputMessage="1" showErrorMessage="1" sqref="AJ92:AL92" xr:uid="{35582D30-5D67-403D-9A50-8B876B016781}">
      <formula1>$R$92:$AF$92</formula1>
    </dataValidation>
    <dataValidation type="list" allowBlank="1" showInputMessage="1" showErrorMessage="1" sqref="AJ90:AL90" xr:uid="{45947C5B-1586-49D8-88BE-EB8AC50066E9}">
      <formula1>"Auxiliary,UAT,GSUT/Distribution"</formula1>
    </dataValidation>
    <dataValidation type="list" allowBlank="1" showInputMessage="1" showErrorMessage="1" sqref="AJ78:AL78" xr:uid="{42AEC9E8-A665-4642-BBE8-5532F000DC73}">
      <formula1>$R$78:$AF$78</formula1>
    </dataValidation>
    <dataValidation type="list" allowBlank="1" showInputMessage="1" showErrorMessage="1" sqref="AJ68:AL71 AJ55:AL55" xr:uid="{9241E8F2-5E45-4D8E-A96C-0AF1EC68B267}">
      <formula1>"Normal,Abnormal"</formula1>
    </dataValidation>
  </dataValidations>
  <printOptions horizontalCentered="1"/>
  <pageMargins left="0.23622047244094491" right="0.23622047244094491" top="0.59055118110236227" bottom="0.23622047244094491" header="0.31496062992125984" footer="0.31496062992125984"/>
  <pageSetup paperSize="8" scale="25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1" id="{52A32403-E521-4F7D-A1AB-33109DCAFD6A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AM9:AO11</xm:sqref>
        </x14:conditionalFormatting>
        <x14:conditionalFormatting xmlns:xm="http://schemas.microsoft.com/office/excel/2006/main">
          <x14:cfRule type="iconSet" priority="34" id="{BEBFB68A-505B-43C0-A527-05B0D8CD5CFB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AM13:AO20</xm:sqref>
        </x14:conditionalFormatting>
        <x14:conditionalFormatting xmlns:xm="http://schemas.microsoft.com/office/excel/2006/main">
          <x14:cfRule type="iconSet" priority="30" id="{BE0B4297-A8AA-406B-9091-835C76510586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AM21:AO21</xm:sqref>
        </x14:conditionalFormatting>
        <x14:conditionalFormatting xmlns:xm="http://schemas.microsoft.com/office/excel/2006/main">
          <x14:cfRule type="iconSet" priority="29" id="{F9257428-0076-4EBD-B6EB-A630B7FB4441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AM23:AO26</xm:sqref>
        </x14:conditionalFormatting>
        <x14:conditionalFormatting xmlns:xm="http://schemas.microsoft.com/office/excel/2006/main">
          <x14:cfRule type="iconSet" priority="28" id="{8657FB87-5870-41B0-B9E9-1656C7DC610F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AM27:AO27</xm:sqref>
        </x14:conditionalFormatting>
        <x14:conditionalFormatting xmlns:xm="http://schemas.microsoft.com/office/excel/2006/main">
          <x14:cfRule type="iconSet" priority="27" id="{B04C44FF-3160-4BEB-8F3F-412951BC465C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AM29:AO32</xm:sqref>
        </x14:conditionalFormatting>
        <x14:conditionalFormatting xmlns:xm="http://schemas.microsoft.com/office/excel/2006/main">
          <x14:cfRule type="iconSet" priority="26" id="{B375E2B4-8FBE-4F4B-8828-DF3EFE68A650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AM33:AO33</xm:sqref>
        </x14:conditionalFormatting>
        <x14:conditionalFormatting xmlns:xm="http://schemas.microsoft.com/office/excel/2006/main">
          <x14:cfRule type="iconSet" priority="25" id="{379D8F90-E09B-4A65-849A-B847C6D5CAC3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AM35:AO35</xm:sqref>
        </x14:conditionalFormatting>
        <x14:conditionalFormatting xmlns:xm="http://schemas.microsoft.com/office/excel/2006/main">
          <x14:cfRule type="iconSet" priority="24" id="{2F892FDC-4FCC-4C93-BBCB-404F7BD17DF1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AM36:AO36</xm:sqref>
        </x14:conditionalFormatting>
        <x14:conditionalFormatting xmlns:xm="http://schemas.microsoft.com/office/excel/2006/main">
          <x14:cfRule type="iconSet" priority="23" id="{8BD28598-7390-4863-BE71-0E88F36DAA60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AM37:AO41</xm:sqref>
        </x14:conditionalFormatting>
        <x14:conditionalFormatting xmlns:xm="http://schemas.microsoft.com/office/excel/2006/main">
          <x14:cfRule type="iconSet" priority="22" id="{AC580B71-8CC7-489F-A53C-A8CA49EAEDF3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AM43:AO43</xm:sqref>
        </x14:conditionalFormatting>
        <x14:conditionalFormatting xmlns:xm="http://schemas.microsoft.com/office/excel/2006/main">
          <x14:cfRule type="iconSet" priority="21" id="{133508F1-722E-4FAF-918B-FD47FD30E9EF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AM44:AO44 AM46:AO46</xm:sqref>
        </x14:conditionalFormatting>
        <x14:conditionalFormatting xmlns:xm="http://schemas.microsoft.com/office/excel/2006/main">
          <x14:cfRule type="iconSet" priority="20" id="{690EB39C-EA72-4076-87B0-710C55A48814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AM49:AO49</xm:sqref>
        </x14:conditionalFormatting>
        <x14:conditionalFormatting xmlns:xm="http://schemas.microsoft.com/office/excel/2006/main">
          <x14:cfRule type="iconSet" priority="19" id="{52E5F68E-4051-4FF9-B475-3E2EE39903AD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AM50:AO50</xm:sqref>
        </x14:conditionalFormatting>
        <x14:conditionalFormatting xmlns:xm="http://schemas.microsoft.com/office/excel/2006/main">
          <x14:cfRule type="iconSet" priority="18" id="{28534A76-8DE0-41E7-8231-313811B96E3F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AM51:AO51</xm:sqref>
        </x14:conditionalFormatting>
        <x14:conditionalFormatting xmlns:xm="http://schemas.microsoft.com/office/excel/2006/main">
          <x14:cfRule type="iconSet" priority="35" id="{E037E69C-923D-4940-BD27-68C791288ADB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AM55:AO55</xm:sqref>
        </x14:conditionalFormatting>
        <x14:conditionalFormatting xmlns:xm="http://schemas.microsoft.com/office/excel/2006/main">
          <x14:cfRule type="iconSet" priority="17" id="{B681B6E2-DCD1-417B-8211-5251FBCC5437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AM53:AO54</xm:sqref>
        </x14:conditionalFormatting>
        <x14:conditionalFormatting xmlns:xm="http://schemas.microsoft.com/office/excel/2006/main">
          <x14:cfRule type="iconSet" priority="16" id="{DC99F098-4D34-462C-A85A-146EDEEC4033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AM59:AO59</xm:sqref>
        </x14:conditionalFormatting>
        <x14:conditionalFormatting xmlns:xm="http://schemas.microsoft.com/office/excel/2006/main">
          <x14:cfRule type="iconSet" priority="15" id="{52051E07-B566-4AFC-A534-2164E3834159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AM57:AO58</xm:sqref>
        </x14:conditionalFormatting>
        <x14:conditionalFormatting xmlns:xm="http://schemas.microsoft.com/office/excel/2006/main">
          <x14:cfRule type="iconSet" priority="14" id="{793C6AA3-16E8-4DD5-8187-885513BB7DBE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AM68:AO71</xm:sqref>
        </x14:conditionalFormatting>
        <x14:conditionalFormatting xmlns:xm="http://schemas.microsoft.com/office/excel/2006/main">
          <x14:cfRule type="iconSet" priority="13" id="{01B12DB5-B9D9-414D-838F-B66F5C10B082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AM47:AO47</xm:sqref>
        </x14:conditionalFormatting>
        <x14:conditionalFormatting xmlns:xm="http://schemas.microsoft.com/office/excel/2006/main">
          <x14:cfRule type="iconSet" priority="12" id="{A9C0F2C0-15DB-45BE-BB4D-D3928B8EDB6B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AM48:AO48</xm:sqref>
        </x14:conditionalFormatting>
        <x14:conditionalFormatting xmlns:xm="http://schemas.microsoft.com/office/excel/2006/main">
          <x14:cfRule type="iconSet" priority="11" id="{AB0D102E-EFEE-4513-B677-FA6F634B645C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AM45:AO45</xm:sqref>
        </x14:conditionalFormatting>
        <x14:conditionalFormatting xmlns:xm="http://schemas.microsoft.com/office/excel/2006/main">
          <x14:cfRule type="iconSet" priority="10" id="{C238B491-D88C-4972-A0F3-995C57D9F08A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AM42:AO42</xm:sqref>
        </x14:conditionalFormatting>
        <x14:conditionalFormatting xmlns:xm="http://schemas.microsoft.com/office/excel/2006/main">
          <x14:cfRule type="iconSet" priority="3" id="{A0AA1420-4FD5-47BE-9BD7-2CFC8005A9EF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AM61:AO62</xm:sqref>
        </x14:conditionalFormatting>
        <x14:conditionalFormatting xmlns:xm="http://schemas.microsoft.com/office/excel/2006/main">
          <x14:cfRule type="iconSet" priority="1" id="{9D221312-DBF1-4C55-ACF7-EFBF3CFDD152}">
            <x14:iconSet iconSet="3Symbols" custom="1">
              <x14:cfvo type="percent">
                <xm:f>0</xm:f>
              </x14:cfvo>
              <x14:cfvo type="num" gte="0">
                <xm:f>$S$7</xm:f>
              </x14:cfvo>
              <x14:cfvo type="num">
                <xm:f>$AE$7</xm:f>
              </x14:cfvo>
              <x14:cfIcon iconSet="3Symbols" iconId="0"/>
              <x14:cfIcon iconSet="3Symbols" iconId="1"/>
              <x14:cfIcon iconSet="3Symbols" iconId="2"/>
            </x14:iconSet>
          </x14:cfRule>
          <xm:sqref>AM63:AO64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98208406-c20e-48d7-a517-8606fa32557a}" enabled="1" method="Standard" siteId="{c6445630-e602-4993-a605-7e41f70338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</vt:lpstr>
      <vt:lpstr>Evaluation!Print_Area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Jirasak Suksakun-GPSC</dc:creator>
  <cp:lastModifiedBy>Jirasak Suksakun-GPSC</cp:lastModifiedBy>
  <dcterms:created xsi:type="dcterms:W3CDTF">2026-08-02T01:11:55Z</dcterms:created>
  <dcterms:modified xsi:type="dcterms:W3CDTF">2026-08-02T01:20:42Z</dcterms:modified>
</cp:coreProperties>
</file>